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2.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345" yWindow="915" windowWidth="9045" windowHeight="6090" activeTab="1"/>
  </bookViews>
  <sheets>
    <sheet name="Capital Structure Decisions" sheetId="1" r:id="rId1"/>
    <sheet name="Extensions" sheetId="2" r:id="rId2"/>
  </sheets>
  <definedNames>
    <definedName name="_xlnm.Print_Area" localSheetId="1">Extensions!$A$1:$M$171</definedName>
  </definedNames>
  <calcPr calcId="145621"/>
</workbook>
</file>

<file path=xl/calcChain.xml><?xml version="1.0" encoding="utf-8"?>
<calcChain xmlns="http://schemas.openxmlformats.org/spreadsheetml/2006/main">
  <c r="H122" i="2" l="1"/>
  <c r="F115" i="2"/>
  <c r="F116" i="2"/>
  <c r="F117" i="2"/>
  <c r="F118" i="2"/>
  <c r="F119" i="2" s="1"/>
  <c r="F120" i="2" s="1"/>
  <c r="F121" i="2" s="1"/>
  <c r="F122" i="2" s="1"/>
  <c r="E116" i="2"/>
  <c r="E117" i="2"/>
  <c r="B117" i="2"/>
  <c r="C117" i="2"/>
  <c r="G117" i="2" s="1"/>
  <c r="H117" i="2" s="1"/>
  <c r="E118" i="2"/>
  <c r="B118" i="2"/>
  <c r="C118" i="2" s="1"/>
  <c r="G118" i="2" s="1"/>
  <c r="H118" i="2" s="1"/>
  <c r="E119" i="2"/>
  <c r="B119" i="2"/>
  <c r="C119" i="2" s="1"/>
  <c r="G119" i="2" s="1"/>
  <c r="H119" i="2" s="1"/>
  <c r="E120" i="2"/>
  <c r="B120" i="2"/>
  <c r="C120" i="2" s="1"/>
  <c r="G120" i="2" s="1"/>
  <c r="H120" i="2" s="1"/>
  <c r="E121" i="2"/>
  <c r="B121" i="2"/>
  <c r="C121" i="2" s="1"/>
  <c r="G121" i="2" s="1"/>
  <c r="H121" i="2" s="1"/>
  <c r="B116" i="2"/>
  <c r="C116" i="2"/>
  <c r="G116" i="2" s="1"/>
  <c r="H116" i="2" s="1"/>
  <c r="D121" i="2"/>
  <c r="D120" i="2"/>
  <c r="D119" i="2"/>
  <c r="D118" i="2"/>
  <c r="D117" i="2"/>
  <c r="D116" i="2"/>
  <c r="C115" i="2"/>
  <c r="D115" i="2"/>
  <c r="H115" i="2"/>
  <c r="B122" i="2"/>
  <c r="C122" i="2"/>
  <c r="D122" i="2"/>
  <c r="E87" i="2"/>
  <c r="E88" i="2" s="1"/>
  <c r="B87" i="2"/>
  <c r="B88" i="2"/>
  <c r="B89" i="2" s="1"/>
  <c r="C88" i="2"/>
  <c r="C87" i="2"/>
  <c r="D88" i="2"/>
  <c r="D87" i="2"/>
  <c r="C86" i="2"/>
  <c r="D86" i="2"/>
  <c r="G86" i="2"/>
  <c r="B167" i="2"/>
  <c r="B79" i="2"/>
  <c r="B76" i="2"/>
  <c r="B78" i="2" s="1"/>
  <c r="C78" i="2" s="1"/>
  <c r="C70" i="2"/>
  <c r="D76" i="2"/>
  <c r="D78" i="2"/>
  <c r="D79" i="2" s="1"/>
  <c r="E78" i="2"/>
  <c r="E70" i="2"/>
  <c r="E73" i="2"/>
  <c r="E76" i="2" s="1"/>
  <c r="E79" i="2" s="1"/>
  <c r="F43" i="2"/>
  <c r="B43" i="2"/>
  <c r="E43" i="2" s="1"/>
  <c r="C42" i="2"/>
  <c r="C43" i="2"/>
  <c r="D42" i="2"/>
  <c r="D43" i="2"/>
  <c r="B32" i="2"/>
  <c r="B42" i="2" s="1"/>
  <c r="E42" i="2" s="1"/>
  <c r="C32" i="2"/>
  <c r="F42" i="2"/>
  <c r="C34" i="2"/>
  <c r="B34" i="2"/>
  <c r="B227" i="1"/>
  <c r="B228" i="1"/>
  <c r="B229" i="1"/>
  <c r="B230" i="1"/>
  <c r="B231" i="1"/>
  <c r="B232" i="1"/>
  <c r="B233" i="1"/>
  <c r="C141" i="1"/>
  <c r="A256" i="1"/>
  <c r="C256" i="1"/>
  <c r="B224" i="1"/>
  <c r="C232" i="1"/>
  <c r="D232" i="1" s="1"/>
  <c r="D256" i="1" s="1"/>
  <c r="E256" i="1" s="1"/>
  <c r="F256" i="1" s="1"/>
  <c r="E34" i="1"/>
  <c r="F49" i="1"/>
  <c r="G49" i="1" s="1"/>
  <c r="B153" i="1"/>
  <c r="E35" i="1"/>
  <c r="F50" i="1"/>
  <c r="G50" i="1"/>
  <c r="C154" i="1" s="1"/>
  <c r="B154" i="1"/>
  <c r="E36" i="1"/>
  <c r="F51" i="1"/>
  <c r="G51" i="1" s="1"/>
  <c r="B155" i="1"/>
  <c r="E37" i="1"/>
  <c r="F52" i="1"/>
  <c r="G52" i="1"/>
  <c r="C156" i="1" s="1"/>
  <c r="E156" i="1" s="1"/>
  <c r="B156" i="1"/>
  <c r="E38" i="1"/>
  <c r="F53" i="1"/>
  <c r="G53" i="1" s="1"/>
  <c r="B157" i="1"/>
  <c r="A345" i="1"/>
  <c r="B170" i="1"/>
  <c r="C171" i="1"/>
  <c r="B171" i="1"/>
  <c r="B172" i="1"/>
  <c r="C173" i="1"/>
  <c r="B173" i="1"/>
  <c r="B174" i="1"/>
  <c r="A252" i="1"/>
  <c r="A341" i="1"/>
  <c r="C252" i="1"/>
  <c r="C228" i="1"/>
  <c r="D228" i="1" s="1"/>
  <c r="D252" i="1" s="1"/>
  <c r="E252" i="1" s="1"/>
  <c r="F252" i="1" s="1"/>
  <c r="A253" i="1"/>
  <c r="A342" i="1"/>
  <c r="C253" i="1"/>
  <c r="C229" i="1"/>
  <c r="D229" i="1" s="1"/>
  <c r="D253" i="1" s="1"/>
  <c r="E253" i="1" s="1"/>
  <c r="F253" i="1" s="1"/>
  <c r="A254" i="1"/>
  <c r="A343" i="1"/>
  <c r="C254" i="1"/>
  <c r="C230" i="1"/>
  <c r="D230" i="1" s="1"/>
  <c r="D254" i="1" s="1"/>
  <c r="E254" i="1" s="1"/>
  <c r="F254" i="1" s="1"/>
  <c r="A255" i="1"/>
  <c r="A344" i="1"/>
  <c r="C255" i="1"/>
  <c r="C231" i="1"/>
  <c r="D231" i="1" s="1"/>
  <c r="D255" i="1" s="1"/>
  <c r="E255" i="1" s="1"/>
  <c r="F255" i="1" s="1"/>
  <c r="A257" i="1"/>
  <c r="A346" i="1" s="1"/>
  <c r="C257" i="1"/>
  <c r="C233" i="1"/>
  <c r="D233" i="1"/>
  <c r="D257" i="1" s="1"/>
  <c r="E257" i="1" s="1"/>
  <c r="A251" i="1"/>
  <c r="A340" i="1" s="1"/>
  <c r="C251" i="1"/>
  <c r="D227" i="1"/>
  <c r="D251" i="1"/>
  <c r="E251" i="1" s="1"/>
  <c r="F251" i="1" s="1"/>
  <c r="D174" i="1"/>
  <c r="D173" i="1"/>
  <c r="E173" i="1" s="1"/>
  <c r="F173" i="1" s="1"/>
  <c r="D172" i="1"/>
  <c r="D171" i="1"/>
  <c r="E171" i="1" s="1"/>
  <c r="F171" i="1" s="1"/>
  <c r="D170" i="1"/>
  <c r="C164" i="1"/>
  <c r="C147" i="1"/>
  <c r="B337" i="1"/>
  <c r="B338" i="1"/>
  <c r="C204" i="1"/>
  <c r="C205" i="1"/>
  <c r="C206" i="1"/>
  <c r="C207" i="1"/>
  <c r="C208" i="1"/>
  <c r="C209" i="1"/>
  <c r="C203" i="1"/>
  <c r="G171" i="1"/>
  <c r="H171" i="1" s="1"/>
  <c r="G173" i="1"/>
  <c r="H173" i="1" s="1"/>
  <c r="E154" i="1"/>
  <c r="F154" i="1"/>
  <c r="G154" i="1" s="1"/>
  <c r="H154" i="1" s="1"/>
  <c r="H49" i="1"/>
  <c r="I49" i="1" s="1"/>
  <c r="H50" i="1"/>
  <c r="I50" i="1" s="1"/>
  <c r="H51" i="1"/>
  <c r="I51" i="1" s="1"/>
  <c r="H52" i="1"/>
  <c r="I52" i="1" s="1"/>
  <c r="H53" i="1"/>
  <c r="I53" i="1" s="1"/>
  <c r="G54" i="1"/>
  <c r="G55" i="1" s="1"/>
  <c r="G56" i="1" s="1"/>
  <c r="B49" i="1"/>
  <c r="C49" i="1" s="1"/>
  <c r="B50" i="1"/>
  <c r="C50" i="1" s="1"/>
  <c r="D50" i="1" s="1"/>
  <c r="E50" i="1" s="1"/>
  <c r="B51" i="1"/>
  <c r="C51" i="1" s="1"/>
  <c r="D51" i="1" s="1"/>
  <c r="E51" i="1" s="1"/>
  <c r="B52" i="1"/>
  <c r="C52" i="1" s="1"/>
  <c r="D52" i="1" s="1"/>
  <c r="E52" i="1" s="1"/>
  <c r="B53" i="1"/>
  <c r="C53" i="1" s="1"/>
  <c r="D53" i="1" s="1"/>
  <c r="E53" i="1" s="1"/>
  <c r="E39" i="1"/>
  <c r="E40" i="1" s="1"/>
  <c r="E41" i="1" s="1"/>
  <c r="D39" i="1"/>
  <c r="D40" i="1" s="1"/>
  <c r="D41" i="1" s="1"/>
  <c r="C227" i="1"/>
  <c r="B252" i="1"/>
  <c r="B253" i="1"/>
  <c r="B254" i="1"/>
  <c r="B255" i="1"/>
  <c r="B256" i="1"/>
  <c r="B257" i="1"/>
  <c r="B251" i="1"/>
  <c r="D175" i="1"/>
  <c r="D158" i="1"/>
  <c r="B108" i="1"/>
  <c r="D108" i="1"/>
  <c r="F108" i="1"/>
  <c r="F103" i="1"/>
  <c r="D103" i="1"/>
  <c r="B104" i="1" s="1"/>
  <c r="B103" i="1"/>
  <c r="B109" i="1"/>
  <c r="B54" i="1"/>
  <c r="F54" i="1"/>
  <c r="F156" i="1" l="1"/>
  <c r="G156" i="1" s="1"/>
  <c r="H156" i="1" s="1"/>
  <c r="D49" i="1"/>
  <c r="C54" i="1"/>
  <c r="C55" i="1" s="1"/>
  <c r="C56" i="1" s="1"/>
  <c r="I55" i="1"/>
  <c r="I54" i="1"/>
  <c r="C155" i="1"/>
  <c r="E155" i="1" s="1"/>
  <c r="C172" i="1"/>
  <c r="E172" i="1" s="1"/>
  <c r="C73" i="2"/>
  <c r="C76" i="2" s="1"/>
  <c r="C79" i="2" s="1"/>
  <c r="B90" i="2"/>
  <c r="C89" i="2"/>
  <c r="D89" i="2"/>
  <c r="F88" i="2"/>
  <c r="G88" i="2" s="1"/>
  <c r="E89" i="2"/>
  <c r="F89" i="2" s="1"/>
  <c r="G89" i="2" s="1"/>
  <c r="H54" i="1"/>
  <c r="C157" i="1"/>
  <c r="E157" i="1" s="1"/>
  <c r="C174" i="1"/>
  <c r="E174" i="1" s="1"/>
  <c r="C153" i="1"/>
  <c r="C170" i="1"/>
  <c r="F257" i="1"/>
  <c r="F87" i="2"/>
  <c r="G87" i="2" s="1"/>
  <c r="C175" i="1" l="1"/>
  <c r="E170" i="1"/>
  <c r="F174" i="1"/>
  <c r="G174" i="1"/>
  <c r="H174" i="1" s="1"/>
  <c r="C90" i="2"/>
  <c r="D90" i="2"/>
  <c r="F155" i="1"/>
  <c r="G155" i="1"/>
  <c r="H155" i="1" s="1"/>
  <c r="M129" i="1"/>
  <c r="L134" i="1" s="1"/>
  <c r="I56" i="1"/>
  <c r="E49" i="1"/>
  <c r="D54" i="1"/>
  <c r="C158" i="1"/>
  <c r="C243" i="1" s="1"/>
  <c r="E153" i="1"/>
  <c r="F157" i="1"/>
  <c r="G157" i="1"/>
  <c r="H157" i="1" s="1"/>
  <c r="F172" i="1"/>
  <c r="G172" i="1"/>
  <c r="H172" i="1" s="1"/>
  <c r="F153" i="1" l="1"/>
  <c r="F158" i="1" s="1"/>
  <c r="E158" i="1"/>
  <c r="G153" i="1"/>
  <c r="F170" i="1"/>
  <c r="F175" i="1" s="1"/>
  <c r="E175" i="1"/>
  <c r="G252" i="1"/>
  <c r="B341" i="1" s="1"/>
  <c r="G253" i="1"/>
  <c r="B342" i="1" s="1"/>
  <c r="G254" i="1"/>
  <c r="B343" i="1" s="1"/>
  <c r="G255" i="1"/>
  <c r="B344" i="1" s="1"/>
  <c r="G251" i="1"/>
  <c r="B340" i="1" s="1"/>
  <c r="G256" i="1"/>
  <c r="B345" i="1" s="1"/>
  <c r="G257" i="1"/>
  <c r="B346" i="1" s="1"/>
  <c r="E55" i="1"/>
  <c r="E54" i="1"/>
  <c r="E56" i="1" l="1"/>
  <c r="M128" i="1"/>
  <c r="L132" i="1" s="1"/>
  <c r="C345" i="1"/>
  <c r="G345" i="1" s="1"/>
  <c r="C344" i="1"/>
  <c r="G344" i="1" s="1"/>
  <c r="C342" i="1"/>
  <c r="G342" i="1" s="1"/>
  <c r="C346" i="1"/>
  <c r="G346" i="1" s="1"/>
  <c r="C340" i="1"/>
  <c r="G340" i="1" s="1"/>
  <c r="C343" i="1"/>
  <c r="G343" i="1" s="1"/>
  <c r="C341" i="1"/>
  <c r="G341" i="1" s="1"/>
  <c r="G170" i="1"/>
  <c r="H153" i="1"/>
  <c r="G158" i="1"/>
  <c r="H158" i="1" l="1"/>
  <c r="H159" i="1" s="1"/>
  <c r="H160" i="1" s="1"/>
  <c r="H170" i="1"/>
  <c r="G175" i="1"/>
  <c r="D341" i="1"/>
  <c r="D343" i="1"/>
  <c r="D340" i="1"/>
  <c r="D346" i="1"/>
  <c r="D342" i="1"/>
  <c r="D344" i="1"/>
  <c r="D345" i="1"/>
  <c r="E345" i="1" l="1"/>
  <c r="F345" i="1"/>
  <c r="H345" i="1" s="1"/>
  <c r="E342" i="1"/>
  <c r="F342" i="1" s="1"/>
  <c r="H342" i="1" s="1"/>
  <c r="E340" i="1"/>
  <c r="F340" i="1" s="1"/>
  <c r="H340" i="1" s="1"/>
  <c r="E341" i="1"/>
  <c r="F341" i="1" s="1"/>
  <c r="H341" i="1" s="1"/>
  <c r="H175" i="1"/>
  <c r="H176" i="1" s="1"/>
  <c r="H177" i="1" s="1"/>
  <c r="E344" i="1"/>
  <c r="F344" i="1" s="1"/>
  <c r="H344" i="1" s="1"/>
  <c r="E346" i="1"/>
  <c r="F346" i="1"/>
  <c r="H346" i="1" s="1"/>
  <c r="E343" i="1"/>
  <c r="F343" i="1" s="1"/>
  <c r="H343" i="1" s="1"/>
</calcChain>
</file>

<file path=xl/comments1.xml><?xml version="1.0" encoding="utf-8"?>
<comments xmlns="http://schemas.openxmlformats.org/spreadsheetml/2006/main">
  <authors>
    <author>Usuario1</author>
    <author>Michael C. Ehrhardt</author>
  </authors>
  <commentList>
    <comment ref="E25" authorId="0">
      <text>
        <r>
          <rPr>
            <b/>
            <sz val="8"/>
            <color indexed="81"/>
            <rFont val="Tahoma"/>
          </rPr>
          <t>:</t>
        </r>
        <r>
          <rPr>
            <sz val="8"/>
            <color indexed="81"/>
            <rFont val="Tahoma"/>
          </rPr>
          <t xml:space="preserve">
 Product sells at same price regardless of how it is produced.   Plan A has high variable costs; it doesn't use labor-saving equipment.  Plan B has high fixed costs (depreciation) due to the use of labor-saving equipment.</t>
        </r>
      </text>
    </comment>
    <comment ref="C243" authorId="1">
      <text>
        <r>
          <rPr>
            <b/>
            <sz val="8"/>
            <color indexed="81"/>
            <rFont val="Tahoma"/>
          </rPr>
          <t>Because the firm is not growing, its net investment in capital is zero.  Therefore, its FCF is equal to its NOPAT.</t>
        </r>
      </text>
    </comment>
    <comment ref="D250" authorId="1">
      <text>
        <r>
          <rPr>
            <b/>
            <sz val="8"/>
            <color indexed="81"/>
            <rFont val="Tahoma"/>
          </rPr>
          <t>Beta is calculated using Hamada's formula.</t>
        </r>
      </text>
    </comment>
    <comment ref="E250" authorId="1">
      <text>
        <r>
          <rPr>
            <b/>
            <sz val="8"/>
            <color indexed="81"/>
            <rFont val="Tahoma"/>
          </rPr>
          <t>The cost of equity is calculated using CAPM.</t>
        </r>
      </text>
    </comment>
    <comment ref="G250" authorId="1">
      <text>
        <r>
          <rPr>
            <b/>
            <sz val="8"/>
            <color indexed="81"/>
            <rFont val="Tahoma"/>
          </rPr>
          <t>The value of the firm is estimated by discounting the FCF at the WACC: V = FCF/WACC (since there is no growth).</t>
        </r>
      </text>
    </comment>
  </commentList>
</comments>
</file>

<file path=xl/comments2.xml><?xml version="1.0" encoding="utf-8"?>
<comments xmlns="http://schemas.openxmlformats.org/spreadsheetml/2006/main">
  <authors>
    <author>Gary Kreps</author>
  </authors>
  <commentList>
    <comment ref="F14" authorId="0">
      <text>
        <r>
          <rPr>
            <b/>
            <sz val="8"/>
            <color indexed="8"/>
            <rFont val="Tahoma"/>
            <family val="2"/>
          </rPr>
          <t>This implies that in the model there are no taxes, then the value of the firm does not change when the level of debt is changed.</t>
        </r>
        <r>
          <rPr>
            <sz val="10"/>
            <color indexed="81"/>
            <rFont val="Tahoma"/>
          </rPr>
          <t xml:space="preserve">
</t>
        </r>
      </text>
    </comment>
  </commentList>
</comments>
</file>

<file path=xl/sharedStrings.xml><?xml version="1.0" encoding="utf-8"?>
<sst xmlns="http://schemas.openxmlformats.org/spreadsheetml/2006/main" count="398" uniqueCount="273">
  <si>
    <t>Price</t>
  </si>
  <si>
    <t>Variable costs</t>
  </si>
  <si>
    <t>Fixed costs</t>
  </si>
  <si>
    <t>Assets</t>
  </si>
  <si>
    <t>Tax Rate</t>
  </si>
  <si>
    <t>Demand</t>
  </si>
  <si>
    <t>Probability</t>
  </si>
  <si>
    <t>Units</t>
  </si>
  <si>
    <t>Sold</t>
  </si>
  <si>
    <t xml:space="preserve">Dollar </t>
  </si>
  <si>
    <t>Sales</t>
  </si>
  <si>
    <t>Operating</t>
  </si>
  <si>
    <t>Costs</t>
  </si>
  <si>
    <t>Net</t>
  </si>
  <si>
    <t>ROE</t>
  </si>
  <si>
    <t>Terrible</t>
  </si>
  <si>
    <t>Poor</t>
  </si>
  <si>
    <t>Average</t>
  </si>
  <si>
    <t xml:space="preserve">Good </t>
  </si>
  <si>
    <t>Wonderful</t>
  </si>
  <si>
    <t>Expected Values:</t>
  </si>
  <si>
    <t>Profit (EBIT)</t>
  </si>
  <si>
    <t>Tax rate</t>
  </si>
  <si>
    <t>Pre-tax</t>
  </si>
  <si>
    <t>Taxes</t>
  </si>
  <si>
    <t>EBIT</t>
  </si>
  <si>
    <t>Interest</t>
  </si>
  <si>
    <t>Normal</t>
  </si>
  <si>
    <t>Good</t>
  </si>
  <si>
    <t>Debt</t>
  </si>
  <si>
    <t>Interest rate</t>
  </si>
  <si>
    <t>Operating Performance</t>
  </si>
  <si>
    <t>Input Data</t>
  </si>
  <si>
    <t>FC</t>
  </si>
  <si>
    <t>(P</t>
  </si>
  <si>
    <t>-</t>
  </si>
  <si>
    <t>VC)</t>
  </si>
  <si>
    <t>WACC</t>
  </si>
  <si>
    <t>DETERMINING THE OPTIMAL CAPITAL STRUCTURE</t>
  </si>
  <si>
    <t>EPS</t>
  </si>
  <si>
    <t>Shares outstanding</t>
  </si>
  <si>
    <t>Cost of debt</t>
  </si>
  <si>
    <t>THE HAMADA EQUATION</t>
  </si>
  <si>
    <t>Plan A</t>
  </si>
  <si>
    <t>Plan B</t>
  </si>
  <si>
    <t>BUSINESS RISK AND OPERATING LEVERAGE</t>
  </si>
  <si>
    <t>FINANCIAL RISK AND LEVERAGE</t>
  </si>
  <si>
    <t>Data Applicable to Both Plans</t>
  </si>
  <si>
    <t>Low FC</t>
  </si>
  <si>
    <t>High FC</t>
  </si>
  <si>
    <t>Plan A: Low Fixed, High Variable Costs</t>
  </si>
  <si>
    <t>Net Op Profit</t>
  </si>
  <si>
    <t>After Taxes</t>
  </si>
  <si>
    <t>Return on</t>
  </si>
  <si>
    <t>Invested</t>
  </si>
  <si>
    <t>Capital</t>
  </si>
  <si>
    <t>(NOPAT)</t>
  </si>
  <si>
    <t>Coefficient of Variation (CV):</t>
  </si>
  <si>
    <t xml:space="preserve"> Units.</t>
  </si>
  <si>
    <t>Units.</t>
  </si>
  <si>
    <t>Debt Cost Schedule</t>
  </si>
  <si>
    <t xml:space="preserve">We can graph the key data in the table above.  </t>
  </si>
  <si>
    <t xml:space="preserve">     Here rim is the correlation coefficient between the asset and the market and the </t>
  </si>
  <si>
    <t xml:space="preserve">     SDs are the standard deviations of the asset and the market.</t>
  </si>
  <si>
    <t>3.  We could calculate the historical r between some traded assets and the market,</t>
  </si>
  <si>
    <t xml:space="preserve">     is typical.</t>
  </si>
  <si>
    <t xml:space="preserve">r  =  </t>
  </si>
  <si>
    <t xml:space="preserve">     B's beta =</t>
  </si>
  <si>
    <t xml:space="preserve">     the market to be 0.75.  So, the returns move up and down with the market, which</t>
  </si>
  <si>
    <t>5.  We calculated above the SD for A and B as follows:</t>
  </si>
  <si>
    <t>SD(A) =</t>
  </si>
  <si>
    <t>SD(B) =</t>
  </si>
  <si>
    <t>6.  We can now apply the formula to find  betas for Plans A and B:</t>
  </si>
  <si>
    <t xml:space="preserve">     A's beta =</t>
  </si>
  <si>
    <t xml:space="preserve">     operating risk.  These betas could be used in the Hamada equation as described</t>
  </si>
  <si>
    <t>The results generated above are graphed below</t>
  </si>
  <si>
    <t xml:space="preserve">2.  We could estimate the SD of the market, based on historical data.  The </t>
  </si>
  <si>
    <t xml:space="preserve">     approximate SD for large company stocks is 27.9%, and 25.76% for small</t>
  </si>
  <si>
    <t xml:space="preserve">     company stocks.  Assume SD Market =</t>
  </si>
  <si>
    <t xml:space="preserve">     and make an educated guess about r for non-traded assets, like Strasburg's project.</t>
  </si>
  <si>
    <t>4.  Assume that Strasburg's management estimates the project correlation with</t>
  </si>
  <si>
    <t>In the table below, we apply the Hamada equation to Strasburg Electronics, given its unlevered beta and tax rate.</t>
  </si>
  <si>
    <t>÷</t>
  </si>
  <si>
    <t>B's breakeven units = 60,000. See calculation below.</t>
  </si>
  <si>
    <t>A's breakeven units = 40,000. See table.</t>
  </si>
  <si>
    <t>Exp. Values:</t>
  </si>
  <si>
    <t>Coef. of Var.:</t>
  </si>
  <si>
    <t>Standard Deviation (SD):</t>
  </si>
  <si>
    <t>Std. Dev.:</t>
  </si>
  <si>
    <t>Percent</t>
  </si>
  <si>
    <t>financed</t>
  </si>
  <si>
    <t>with debt</t>
  </si>
  <si>
    <t>with equity</t>
  </si>
  <si>
    <t>Free Cash Flow, FCF:</t>
  </si>
  <si>
    <t>(1)</t>
  </si>
  <si>
    <t>Debt/Equity,</t>
  </si>
  <si>
    <t>(2)</t>
  </si>
  <si>
    <t>(3)</t>
  </si>
  <si>
    <t>(4)</t>
  </si>
  <si>
    <t>(5)</t>
  </si>
  <si>
    <t>(6)</t>
  </si>
  <si>
    <t>(7)</t>
  </si>
  <si>
    <t>After-tax</t>
  </si>
  <si>
    <t>cost of debt,</t>
  </si>
  <si>
    <t>Estimated</t>
  </si>
  <si>
    <t xml:space="preserve">Cost of </t>
  </si>
  <si>
    <t>Value of</t>
  </si>
  <si>
    <t>firm, V</t>
  </si>
  <si>
    <t>beta, b</t>
  </si>
  <si>
    <t>price, P</t>
  </si>
  <si>
    <t xml:space="preserve">Market </t>
  </si>
  <si>
    <t>value</t>
  </si>
  <si>
    <t>Number of</t>
  </si>
  <si>
    <t>shares after</t>
  </si>
  <si>
    <t>Current data for Strasburg</t>
  </si>
  <si>
    <t>Market value of equity</t>
  </si>
  <si>
    <t>Section I. Zero Debt</t>
  </si>
  <si>
    <t xml:space="preserve">n.a.  </t>
  </si>
  <si>
    <t>Demand for</t>
  </si>
  <si>
    <t>product</t>
  </si>
  <si>
    <t>income</t>
  </si>
  <si>
    <t>(40%)</t>
  </si>
  <si>
    <t>(8)</t>
  </si>
  <si>
    <t>Standard deviation:</t>
  </si>
  <si>
    <t>Coefficient of variation:</t>
  </si>
  <si>
    <t>Book equity</t>
  </si>
  <si>
    <t>Expected value:</t>
  </si>
  <si>
    <t>The optimal capital structure is the one that maximizes the value of the company.  Also, that same capital structure minimizes the WACC.  To find--or, really, estimate--the optimal capital structure, we need information on how capital structure affects the costs of debt and equity.  The effects on debt are usually estimated by talking with bankers and investment bankers--Strasburg's debt cost schedule as shown above was determined in this way.  The effects on the cost of equity are determined in various ways, but one logical starting point is the Hamada Equation, which is explained below.</t>
  </si>
  <si>
    <t>In the following example we illustrate all this, continuing with the situation described in our operating leverage example. We assume that the company decided on Plan B and thus requires $200,000 of capital. We also assume that the firm must increase its precentage financed with debt by 10% at at time, and that its debt ratio cannot exceed 60% due to restrictions in it's corporate charter. Further, we assume that Strasburg Inc currently has 10,000 shares  of common stock outstanding.</t>
  </si>
  <si>
    <t>ANATOMY OF A RECAPITALIZATION</t>
  </si>
  <si>
    <t xml:space="preserve">Strasburg will issue debt and use the proceeds to repurchase stock.  This is  a recapitalization, often called a "recap."  When Strasburg announces its planned recapitalization, investors realize that the company will be worth more after the recap.  Therefore, the stock price will increase when the plans are announced, even though the actual repurchase has not yet occurred.  If the stock price did not increase until after the actual repurchase, it would be possible for an investor to buy the stock immediately prior to the repurchase, and then reap a reward the next day when the repurchase ocurred.  Curent stockholders realize this, and refuse to sell the stock unless they are paid the price that is expected immediately after the repurchase occurrs.  </t>
  </si>
  <si>
    <t xml:space="preserve">Earnings </t>
  </si>
  <si>
    <t>per share,</t>
  </si>
  <si>
    <t>NI</t>
  </si>
  <si>
    <t>Net income,</t>
  </si>
  <si>
    <t>of debt, D</t>
  </si>
  <si>
    <t>Notes:</t>
  </si>
  <si>
    <t xml:space="preserve">   FCF </t>
  </si>
  <si>
    <t>= NOPAT + Investment in capital = EBIT(1-T) + 0</t>
  </si>
  <si>
    <t>= $40,000 (1-0.4) = $24,000.</t>
  </si>
  <si>
    <t>Stock</t>
  </si>
  <si>
    <t>Market</t>
  </si>
  <si>
    <t>D/S</t>
  </si>
  <si>
    <t>of equity, S</t>
  </si>
  <si>
    <t>repurchase, n</t>
  </si>
  <si>
    <t>Section II. $100,000 of Debt</t>
  </si>
  <si>
    <t>Operating Leverage reflects amount of fixed costs embedded in a firm's operations.  Thus, if a high percentage of a firm's costs are fixed, hence continue even if sales decline, then  the firm is said to have high operating leverage.  High operating leverage produces a situation where a small change in sales can result in a large change in operating income.  The following example compares two operational plans with different degrees of operating leverage.   Using the input data given below, we examine the firm's profitability under two operating plans, in different states of the economy.   The probabilities of the economic states are also given in the example.</t>
  </si>
  <si>
    <t>B has a much higher breakeven point, (2) that B has more leverage in the sense that a given change in sales leads to a larger change in profits than for A.</t>
  </si>
  <si>
    <t>We can see from the table that A's breakeven point is at 40,000 units.  We can see from the table and also from the graph that B's breakeven point is between 40,000 and 100,000 units, but we cannot tell the exact point.  However, we can use the following formula to find the exact breakeven point:</t>
  </si>
  <si>
    <t>Financial Leverage refers to the use of fixed-income securities (preferred stock and debt) in the capital structure. The firm has a certain amount of business risk as discussed above in connection with operating leverage. This business risk is measured by the firm's "unleveraged beta," which is the beta it would have if it had no debt.  If the firm uses no financial leverage, i.e., no debt or preferred stock, then each stockholder would bear that business risk in proportion to his or her share of the stock. However, if the firm uses debt, then the business risk will be concentrated on its stockholders, and each will have to bear more of that risk than if the firm had remained debt-free.</t>
  </si>
  <si>
    <t>The risk of the stock is reflected in the stock's beta coefficient, and, as we discuss below, beta rises with the use of debt-- the more debt, the higher the beta.  The lowest beta is the one that would exist if no debt were used--this is the "unleveraged beta," and it reflects the firm's business risk as discussed above.</t>
  </si>
  <si>
    <t>Typically,  financial leverage increases the expected rate of return on equity.  In this case, the return on equity rises from 12% to 18.0%.  However, this higher return comes at a price--the higher the debt ratio, the greater the risk as indicated by the standard deviation and the coefficient of variation, which rises from 1.23 to 1.65.</t>
  </si>
  <si>
    <t>Discussions with its bankers indicate that Strasburg can borrow different amounts, but the more it borrows, the higher the cost of its debt.  Note: the percentages are based on market values.</t>
  </si>
  <si>
    <t>Hamada developed his equation by merging the CAPM with the Modigliani-Miller model.  We use the model to determine beta at different amount of financial leverage, and then use the betas associated with different debt ratios to find the cost of equity associated with those debt ratios. Here is the Hamada equation:</t>
  </si>
  <si>
    <t>As the table shows, beta rises with financial leverage.  With beta specified, we can determine the effects of leverage on the cost of equity and then on the WACC.   Here we assume that the risk-free rate is 6% and the market risk premium is 6%  We also assume that Strasburg pays out all of its earnings as dividends, hence its earnings and dividends are not expected to grow.  Therefore, its stock price can be found by using the perpetuity equation, Price = Dividend/rs.</t>
  </si>
  <si>
    <t>We see that the stock price is maximized, and the WACC is minimized, if the firm finances with 40% debt and 60% equity.  This is the optimal capital structure.</t>
  </si>
  <si>
    <t xml:space="preserve">In words, the quantity at which a firm breaks even is found as the Fixed Costs </t>
  </si>
  <si>
    <t>divided by the difference between Price and Variable costs.</t>
  </si>
  <si>
    <t>Capital Structure Decisions</t>
  </si>
  <si>
    <t xml:space="preserve"> </t>
  </si>
  <si>
    <t>1.  The beta of the ith asset can be found using this equation:</t>
  </si>
  <si>
    <t xml:space="preserve">   bi  =  r i,m ( SDi / SDm )</t>
  </si>
  <si>
    <t xml:space="preserve"> Interest Rates for Strasburg with Different Capital Structures</t>
  </si>
  <si>
    <t xml:space="preserve"> Effects of Financial Leverage: Strasburg Electronics Financed with Zero Debt or $100,000 Debt</t>
  </si>
  <si>
    <t>1x2</t>
  </si>
  <si>
    <t>´2-3</t>
  </si>
  <si>
    <t>Strasburg's Optimal Capital Structure</t>
  </si>
  <si>
    <t xml:space="preserve"> Capital Structure Decisions:  Extensions</t>
  </si>
  <si>
    <t>We discussed how leverage can affect the value of the firm.  Now we continue with the discussion by examining some of the theories of capital structure.</t>
  </si>
  <si>
    <t>Modigliani and Miller without Taxes</t>
  </si>
  <si>
    <t>Franco Modigliani and Merton Miller developed a model to examine the impact of debt on firm value.  In this first version it is assumed that taxes are zero.</t>
  </si>
  <si>
    <t>Proposition I.</t>
  </si>
  <si>
    <t>1.  The weighted average cost of capital is independent of the firm's capital structure.</t>
  </si>
  <si>
    <t>2.  The WACC of a firm with debt is equal to the unlevered cost of equity.</t>
  </si>
  <si>
    <t>Proposition II.</t>
  </si>
  <si>
    <t>Example of an arbitrage opportunity in zero-growth firms:</t>
  </si>
  <si>
    <t>Firm U</t>
  </si>
  <si>
    <t>Firm L</t>
  </si>
  <si>
    <t>No Debt</t>
  </si>
  <si>
    <t>Some Debt</t>
  </si>
  <si>
    <t>rd</t>
  </si>
  <si>
    <t>NA</t>
  </si>
  <si>
    <t>rs</t>
  </si>
  <si>
    <t>Value</t>
  </si>
  <si>
    <t>of Stock</t>
  </si>
  <si>
    <t>Total Market</t>
  </si>
  <si>
    <t>Value of Firm</t>
  </si>
  <si>
    <t>Value of Firm = Value of Stock + Value of Debt</t>
  </si>
  <si>
    <t>Compare an investment in L with a "synthetic" investment that duplicates L's leverage using an investment in U and borrowing on the investor's own account.</t>
  </si>
  <si>
    <t>Borrow amt.</t>
  </si>
  <si>
    <t>Invest $100,000</t>
  </si>
  <si>
    <t>Portfolio of U,</t>
  </si>
  <si>
    <t>Buy</t>
  </si>
  <si>
    <t>equal to 10%</t>
  </si>
  <si>
    <t>in risk free</t>
  </si>
  <si>
    <t>Debt, and risk</t>
  </si>
  <si>
    <t>10% of U</t>
  </si>
  <si>
    <t>of L's Debt</t>
  </si>
  <si>
    <t>asset</t>
  </si>
  <si>
    <t>free asset</t>
  </si>
  <si>
    <t>10% of L</t>
  </si>
  <si>
    <t>Cost</t>
  </si>
  <si>
    <t>Income</t>
  </si>
  <si>
    <t>Modigliani and Miller with CorporateTaxes</t>
  </si>
  <si>
    <t>The MM results are different once corporate taxes are added in.</t>
  </si>
  <si>
    <t>Proposition I ( with corporate taxes)</t>
  </si>
  <si>
    <t>Proposition II (with corporate taxes)</t>
  </si>
  <si>
    <t>The cost of equity to a levered firm is the unlevered cost of equity plus a risk premium:</t>
  </si>
  <si>
    <t>Data for</t>
  </si>
  <si>
    <t>0 Taxes</t>
  </si>
  <si>
    <t>40% Tax Rate</t>
  </si>
  <si>
    <t>Fredrickson</t>
  </si>
  <si>
    <t>Value of Firm = Value of Unlevered Firm +T x Debt</t>
  </si>
  <si>
    <t>Effects of Leverage:  MM Models</t>
  </si>
  <si>
    <t>MM without Taxes</t>
  </si>
  <si>
    <t>D</t>
  </si>
  <si>
    <t>V</t>
  </si>
  <si>
    <t>S</t>
  </si>
  <si>
    <t>D/V</t>
  </si>
  <si>
    <t>MM with Corporate Taxes</t>
  </si>
  <si>
    <t>rd x (1-T)</t>
  </si>
  <si>
    <t>The Miller Model and Personal Taxes</t>
  </si>
  <si>
    <t xml:space="preserve">and the value of a levered firm is </t>
  </si>
  <si>
    <t>The term in brackets is the gain from leverage.</t>
  </si>
  <si>
    <t>Gain from</t>
  </si>
  <si>
    <t>If the corporate tax rate is 34%, the capital gains rate is 15%, and the ordinary income tax rate is 28%, then the added value to the firm from using $D in debt is 0.22D.  I.e. the total firm value increases by about 22% of the amount of debt used.</t>
  </si>
  <si>
    <t>Leverage</t>
  </si>
  <si>
    <r>
      <t xml:space="preserve">Risk has two principal components, market risk and stand-alone risk. Market risk is measured by beta, while stand-alone risk consists of  both market risk plus an element of risk that can be eliminated through diversification.  Now, we introduce two new dimensions of risk, </t>
    </r>
    <r>
      <rPr>
        <b/>
        <u val="double"/>
        <sz val="10"/>
        <color indexed="10"/>
        <rFont val="Calibri"/>
        <family val="2"/>
        <scheme val="minor"/>
      </rPr>
      <t>business risk and financial risk</t>
    </r>
    <r>
      <rPr>
        <b/>
        <sz val="10"/>
        <color indexed="18"/>
        <rFont val="Calibri"/>
        <family val="2"/>
        <scheme val="minor"/>
      </rPr>
      <t>.  Business risk is the risk inherent in the firm's operations, and it would be there even if used no debt.  Financial risk is the additional risk borne by the stockholders as a result of the use of debt.</t>
    </r>
  </si>
  <si>
    <r>
      <t xml:space="preserve">Plan B: </t>
    </r>
    <r>
      <rPr>
        <b/>
        <u val="double"/>
        <sz val="10"/>
        <color indexed="10"/>
        <rFont val="Calibri"/>
        <family val="2"/>
        <scheme val="minor"/>
      </rPr>
      <t>High Fixed</t>
    </r>
    <r>
      <rPr>
        <b/>
        <sz val="10"/>
        <color indexed="17"/>
        <rFont val="Calibri"/>
        <family val="2"/>
        <scheme val="minor"/>
      </rPr>
      <t>, Low Variable Costs</t>
    </r>
  </si>
  <si>
    <r>
      <t xml:space="preserve">Which plan is better?  Based on expected profits and the return on invested capital, Plan B looks better.  However, Plan B is also riskier as measured by the standard deviation (SD) and the coefficient of variation (CV).  So, we face a </t>
    </r>
    <r>
      <rPr>
        <b/>
        <u/>
        <sz val="10"/>
        <color indexed="10"/>
        <rFont val="Calibri"/>
        <family val="2"/>
        <scheme val="minor"/>
      </rPr>
      <t>tradeoff between risk and return</t>
    </r>
    <r>
      <rPr>
        <b/>
        <sz val="10"/>
        <color indexed="18"/>
        <rFont val="Calibri"/>
        <family val="2"/>
        <scheme val="minor"/>
      </rPr>
      <t>--B is more profitable, but A is less risky.  Someone will have to choose between the two plans, but at this point we have no basis for making the choice.</t>
    </r>
  </si>
  <si>
    <r>
      <t xml:space="preserve">Note also that Plan A will break even at sales as low as 40,000 units, while Plan B would have a $20,000 loss at that level. </t>
    </r>
    <r>
      <rPr>
        <b/>
        <u val="double"/>
        <sz val="11"/>
        <color indexed="10"/>
        <rFont val="Calibri"/>
        <family val="2"/>
        <scheme val="minor"/>
      </rPr>
      <t>B's breakeven point is 50% higher</t>
    </r>
    <r>
      <rPr>
        <b/>
        <sz val="11"/>
        <color indexed="18"/>
        <rFont val="Calibri"/>
        <family val="2"/>
        <scheme val="minor"/>
      </rPr>
      <t>, at 60,000 units.</t>
    </r>
  </si>
  <si>
    <r>
      <t xml:space="preserve">Q </t>
    </r>
    <r>
      <rPr>
        <b/>
        <vertAlign val="subscript"/>
        <sz val="10"/>
        <rFont val="Calibri"/>
        <family val="2"/>
        <scheme val="minor"/>
      </rPr>
      <t>BE</t>
    </r>
    <r>
      <rPr>
        <b/>
        <sz val="10"/>
        <rFont val="Calibri"/>
        <family val="2"/>
        <scheme val="minor"/>
      </rPr>
      <t xml:space="preserve">    =</t>
    </r>
  </si>
  <si>
    <r>
      <t xml:space="preserve">FC </t>
    </r>
    <r>
      <rPr>
        <b/>
        <sz val="10"/>
        <rFont val="Calibri"/>
        <family val="2"/>
        <scheme val="minor"/>
      </rPr>
      <t xml:space="preserve">/ </t>
    </r>
    <r>
      <rPr>
        <b/>
        <vertAlign val="subscript"/>
        <sz val="10"/>
        <rFont val="Calibri"/>
        <family val="2"/>
        <scheme val="minor"/>
      </rPr>
      <t>(P - VC)</t>
    </r>
  </si>
  <si>
    <r>
      <t xml:space="preserve">Q </t>
    </r>
    <r>
      <rPr>
        <b/>
        <vertAlign val="subscript"/>
        <sz val="10"/>
        <color indexed="20"/>
        <rFont val="Calibri"/>
        <family val="2"/>
        <scheme val="minor"/>
      </rPr>
      <t>BE</t>
    </r>
    <r>
      <rPr>
        <b/>
        <sz val="10"/>
        <color indexed="20"/>
        <rFont val="Calibri"/>
        <family val="2"/>
        <scheme val="minor"/>
      </rPr>
      <t xml:space="preserve">    =</t>
    </r>
  </si>
  <si>
    <r>
      <t xml:space="preserve">BE </t>
    </r>
    <r>
      <rPr>
        <b/>
        <vertAlign val="subscript"/>
        <sz val="10"/>
        <color indexed="21"/>
        <rFont val="Calibri"/>
        <family val="2"/>
        <scheme val="minor"/>
      </rPr>
      <t>B</t>
    </r>
    <r>
      <rPr>
        <b/>
        <sz val="10"/>
        <color indexed="21"/>
        <rFont val="Calibri"/>
        <family val="2"/>
        <scheme val="minor"/>
      </rPr>
      <t xml:space="preserve"> =</t>
    </r>
  </si>
  <si>
    <r>
      <t xml:space="preserve">At this point, we know that Plan B has a higher expected rate of return, but it is also more risky.  Our analysis is on stand-alone risk. However, given a positive correlation between the firm's returns and that on the market, Plan </t>
    </r>
    <r>
      <rPr>
        <b/>
        <u/>
        <sz val="10"/>
        <color indexed="18"/>
        <rFont val="Calibri"/>
        <family val="2"/>
        <scheme val="minor"/>
      </rPr>
      <t>B's higher risk</t>
    </r>
    <r>
      <rPr>
        <b/>
        <sz val="10"/>
        <color indexed="18"/>
        <rFont val="Calibri"/>
        <family val="2"/>
        <scheme val="minor"/>
      </rPr>
      <t xml:space="preserve"> will result in a </t>
    </r>
    <r>
      <rPr>
        <b/>
        <u/>
        <sz val="10"/>
        <color indexed="18"/>
        <rFont val="Calibri"/>
        <family val="2"/>
        <scheme val="minor"/>
      </rPr>
      <t>higher</t>
    </r>
    <r>
      <rPr>
        <b/>
        <sz val="10"/>
        <color indexed="18"/>
        <rFont val="Calibri"/>
        <family val="2"/>
        <scheme val="minor"/>
      </rPr>
      <t xml:space="preserve"> "unlevered </t>
    </r>
    <r>
      <rPr>
        <b/>
        <u/>
        <sz val="10"/>
        <color indexed="18"/>
        <rFont val="Calibri"/>
        <family val="2"/>
        <scheme val="minor"/>
      </rPr>
      <t>beta</t>
    </r>
    <r>
      <rPr>
        <b/>
        <sz val="10"/>
        <color indexed="18"/>
        <rFont val="Calibri"/>
        <family val="2"/>
        <scheme val="minor"/>
      </rPr>
      <t>."  We do not calculate unlevered betas here, but in the next section we assume that B's beta is 1.5, and we also assume that management believes that the choosing Plan B would lead to a higher stock price than Plan A.</t>
    </r>
  </si>
  <si>
    <r>
      <t>(w</t>
    </r>
    <r>
      <rPr>
        <b/>
        <vertAlign val="subscript"/>
        <sz val="10"/>
        <color indexed="8"/>
        <rFont val="Calibri"/>
        <family val="2"/>
        <scheme val="minor"/>
      </rPr>
      <t>d</t>
    </r>
    <r>
      <rPr>
        <b/>
        <sz val="10"/>
        <color indexed="8"/>
        <rFont val="Calibri"/>
        <family val="2"/>
        <scheme val="minor"/>
      </rPr>
      <t>)</t>
    </r>
  </si>
  <si>
    <r>
      <t>(w</t>
    </r>
    <r>
      <rPr>
        <b/>
        <vertAlign val="subscript"/>
        <sz val="10"/>
        <color indexed="8"/>
        <rFont val="Calibri"/>
        <family val="2"/>
        <scheme val="minor"/>
      </rPr>
      <t>e</t>
    </r>
    <r>
      <rPr>
        <b/>
        <sz val="10"/>
        <color indexed="8"/>
        <rFont val="Calibri"/>
        <family val="2"/>
        <scheme val="minor"/>
      </rPr>
      <t>)</t>
    </r>
  </si>
  <si>
    <r>
      <t>(r</t>
    </r>
    <r>
      <rPr>
        <b/>
        <vertAlign val="subscript"/>
        <sz val="10"/>
        <rFont val="Calibri"/>
        <family val="2"/>
        <scheme val="minor"/>
      </rPr>
      <t>d</t>
    </r>
    <r>
      <rPr>
        <b/>
        <sz val="10"/>
        <rFont val="Calibri"/>
        <family val="2"/>
        <scheme val="minor"/>
      </rPr>
      <t>)</t>
    </r>
  </si>
  <si>
    <r>
      <t xml:space="preserve">   b</t>
    </r>
    <r>
      <rPr>
        <b/>
        <vertAlign val="subscript"/>
        <sz val="11"/>
        <color indexed="16"/>
        <rFont val="Calibri"/>
        <family val="2"/>
        <scheme val="minor"/>
      </rPr>
      <t>L</t>
    </r>
    <r>
      <rPr>
        <b/>
        <sz val="11"/>
        <color indexed="16"/>
        <rFont val="Calibri"/>
        <family val="2"/>
        <scheme val="minor"/>
      </rPr>
      <t xml:space="preserve">  =  b</t>
    </r>
    <r>
      <rPr>
        <b/>
        <vertAlign val="subscript"/>
        <sz val="11"/>
        <color indexed="16"/>
        <rFont val="Calibri"/>
        <family val="2"/>
        <scheme val="minor"/>
      </rPr>
      <t>U</t>
    </r>
    <r>
      <rPr>
        <b/>
        <sz val="11"/>
        <color indexed="16"/>
        <rFont val="Calibri"/>
        <family val="2"/>
        <scheme val="minor"/>
      </rPr>
      <t xml:space="preserve">   x  [1 + (1-T) x (D/S)]  </t>
    </r>
  </si>
  <si>
    <r>
      <t>Here b</t>
    </r>
    <r>
      <rPr>
        <b/>
        <vertAlign val="subscript"/>
        <sz val="10"/>
        <color indexed="18"/>
        <rFont val="Calibri"/>
        <family val="2"/>
        <scheme val="minor"/>
      </rPr>
      <t>L</t>
    </r>
    <r>
      <rPr>
        <b/>
        <sz val="10"/>
        <color indexed="18"/>
        <rFont val="Calibri"/>
        <family val="2"/>
        <scheme val="minor"/>
      </rPr>
      <t xml:space="preserve">  is the leveraged beta, b</t>
    </r>
    <r>
      <rPr>
        <b/>
        <vertAlign val="subscript"/>
        <sz val="10"/>
        <color indexed="18"/>
        <rFont val="Calibri"/>
        <family val="2"/>
        <scheme val="minor"/>
      </rPr>
      <t>U</t>
    </r>
    <r>
      <rPr>
        <b/>
        <sz val="10"/>
        <color indexed="18"/>
        <rFont val="Calibri"/>
        <family val="2"/>
        <scheme val="minor"/>
      </rPr>
      <t xml:space="preserve">  is the beta that the firm would have if it used no debt, T is the marginal tax rate, D is the market value of the debt, and S is the market value of the equity.  </t>
    </r>
  </si>
  <si>
    <r>
      <t>b</t>
    </r>
    <r>
      <rPr>
        <b/>
        <vertAlign val="subscript"/>
        <sz val="10"/>
        <rFont val="Calibri"/>
        <family val="2"/>
        <scheme val="minor"/>
      </rPr>
      <t>U</t>
    </r>
  </si>
  <si>
    <r>
      <t>w</t>
    </r>
    <r>
      <rPr>
        <b/>
        <vertAlign val="subscript"/>
        <sz val="10"/>
        <rFont val="Calibri"/>
        <family val="2"/>
        <scheme val="minor"/>
      </rPr>
      <t>d</t>
    </r>
  </si>
  <si>
    <r>
      <t xml:space="preserve">B </t>
    </r>
    <r>
      <rPr>
        <b/>
        <vertAlign val="subscript"/>
        <sz val="10"/>
        <color indexed="20"/>
        <rFont val="Calibri"/>
        <family val="2"/>
        <scheme val="minor"/>
      </rPr>
      <t>L</t>
    </r>
  </si>
  <si>
    <r>
      <t>Risk-free rate,  r</t>
    </r>
    <r>
      <rPr>
        <b/>
        <vertAlign val="subscript"/>
        <sz val="10"/>
        <color indexed="18"/>
        <rFont val="Calibri"/>
        <family val="2"/>
        <scheme val="minor"/>
      </rPr>
      <t>RF</t>
    </r>
    <r>
      <rPr>
        <b/>
        <sz val="10"/>
        <color indexed="18"/>
        <rFont val="Calibri"/>
        <family val="2"/>
        <scheme val="minor"/>
      </rPr>
      <t>:</t>
    </r>
  </si>
  <si>
    <r>
      <t>Market risk premium,  RP</t>
    </r>
    <r>
      <rPr>
        <b/>
        <vertAlign val="subscript"/>
        <sz val="10"/>
        <color indexed="18"/>
        <rFont val="Calibri"/>
        <family val="2"/>
        <scheme val="minor"/>
      </rPr>
      <t>M</t>
    </r>
    <r>
      <rPr>
        <b/>
        <sz val="10"/>
        <color indexed="18"/>
        <rFont val="Calibri"/>
        <family val="2"/>
        <scheme val="minor"/>
      </rPr>
      <t>:</t>
    </r>
  </si>
  <si>
    <r>
      <t>with debt, w</t>
    </r>
    <r>
      <rPr>
        <b/>
        <vertAlign val="subscript"/>
        <sz val="10"/>
        <color indexed="16"/>
        <rFont val="Calibri"/>
        <family val="2"/>
        <scheme val="minor"/>
      </rPr>
      <t>d</t>
    </r>
  </si>
  <si>
    <r>
      <t>(1-T) r</t>
    </r>
    <r>
      <rPr>
        <b/>
        <vertAlign val="subscript"/>
        <sz val="10"/>
        <color indexed="16"/>
        <rFont val="Calibri"/>
        <family val="2"/>
        <scheme val="minor"/>
      </rPr>
      <t>d</t>
    </r>
  </si>
  <si>
    <r>
      <t>equity, r</t>
    </r>
    <r>
      <rPr>
        <b/>
        <vertAlign val="subscript"/>
        <sz val="10"/>
        <color indexed="16"/>
        <rFont val="Calibri"/>
        <family val="2"/>
        <scheme val="minor"/>
      </rPr>
      <t>s</t>
    </r>
  </si>
  <si>
    <r>
      <t>a</t>
    </r>
    <r>
      <rPr>
        <sz val="12"/>
        <rFont val="Calibri"/>
        <family val="2"/>
        <scheme val="minor"/>
      </rPr>
      <t xml:space="preserve"> The D/S ratio is calculated as: D/S = w</t>
    </r>
    <r>
      <rPr>
        <vertAlign val="subscript"/>
        <sz val="12"/>
        <rFont val="Calibri"/>
        <family val="2"/>
        <scheme val="minor"/>
      </rPr>
      <t>d</t>
    </r>
    <r>
      <rPr>
        <sz val="12"/>
        <rFont val="Calibri"/>
        <family val="2"/>
        <scheme val="minor"/>
      </rPr>
      <t xml:space="preserve"> / (1-w</t>
    </r>
    <r>
      <rPr>
        <vertAlign val="subscript"/>
        <sz val="12"/>
        <rFont val="Calibri"/>
        <family val="2"/>
        <scheme val="minor"/>
      </rPr>
      <t>d</t>
    </r>
    <r>
      <rPr>
        <sz val="12"/>
        <rFont val="Calibri"/>
        <family val="2"/>
        <scheme val="minor"/>
      </rPr>
      <t>).</t>
    </r>
  </si>
  <si>
    <r>
      <t>b</t>
    </r>
    <r>
      <rPr>
        <sz val="12"/>
        <rFont val="Calibri"/>
        <family val="2"/>
        <scheme val="minor"/>
      </rPr>
      <t xml:space="preserve"> The interest rates are shown in the Table, and the tax rate is 40%.</t>
    </r>
  </si>
  <si>
    <r>
      <t>c</t>
    </r>
    <r>
      <rPr>
        <sz val="12"/>
        <rFont val="Calibri"/>
        <family val="2"/>
        <scheme val="minor"/>
      </rPr>
      <t xml:space="preserve"> The beta is estimated using Hamada’s formula in Equation 16-8.</t>
    </r>
  </si>
  <si>
    <r>
      <t>d</t>
    </r>
    <r>
      <rPr>
        <sz val="12"/>
        <rFont val="Calibri"/>
        <family val="2"/>
        <scheme val="minor"/>
      </rPr>
      <t xml:space="preserve"> The cost of equity is estimated using the CAPM formula: r</t>
    </r>
    <r>
      <rPr>
        <vertAlign val="subscript"/>
        <sz val="12"/>
        <rFont val="Calibri"/>
        <family val="2"/>
        <scheme val="minor"/>
      </rPr>
      <t>s</t>
    </r>
    <r>
      <rPr>
        <sz val="12"/>
        <rFont val="Calibri"/>
        <family val="2"/>
        <scheme val="minor"/>
      </rPr>
      <t xml:space="preserve"> = r</t>
    </r>
    <r>
      <rPr>
        <vertAlign val="subscript"/>
        <sz val="12"/>
        <rFont val="Calibri"/>
        <family val="2"/>
        <scheme val="minor"/>
      </rPr>
      <t>RF</t>
    </r>
    <r>
      <rPr>
        <sz val="12"/>
        <rFont val="Calibri"/>
        <family val="2"/>
        <scheme val="minor"/>
      </rPr>
      <t xml:space="preserve"> + (RP</t>
    </r>
    <r>
      <rPr>
        <vertAlign val="subscript"/>
        <sz val="12"/>
        <rFont val="Calibri"/>
        <family val="2"/>
        <scheme val="minor"/>
      </rPr>
      <t>M</t>
    </r>
    <r>
      <rPr>
        <sz val="12"/>
        <rFont val="Calibri"/>
        <family val="2"/>
        <scheme val="minor"/>
      </rPr>
      <t>)b, where the risk free rate is 6 percent and the market risk premium is 6 percent.</t>
    </r>
  </si>
  <si>
    <r>
      <t>e</t>
    </r>
    <r>
      <rPr>
        <sz val="12"/>
        <rFont val="Calibri"/>
        <family val="2"/>
        <scheme val="minor"/>
      </rPr>
      <t xml:space="preserve"> The weighted average cost of capital is calculated using Equation: WACC = w</t>
    </r>
    <r>
      <rPr>
        <vertAlign val="subscript"/>
        <sz val="12"/>
        <rFont val="Calibri"/>
        <family val="2"/>
        <scheme val="minor"/>
      </rPr>
      <t>e</t>
    </r>
    <r>
      <rPr>
        <sz val="12"/>
        <rFont val="Calibri"/>
        <family val="2"/>
        <scheme val="minor"/>
      </rPr>
      <t xml:space="preserve"> r</t>
    </r>
    <r>
      <rPr>
        <vertAlign val="subscript"/>
        <sz val="12"/>
        <rFont val="Calibri"/>
        <family val="2"/>
        <scheme val="minor"/>
      </rPr>
      <t>s</t>
    </r>
    <r>
      <rPr>
        <sz val="12"/>
        <rFont val="Calibri"/>
        <family val="2"/>
        <scheme val="minor"/>
      </rPr>
      <t xml:space="preserve"> + w</t>
    </r>
    <r>
      <rPr>
        <vertAlign val="subscript"/>
        <sz val="12"/>
        <rFont val="Calibri"/>
        <family val="2"/>
        <scheme val="minor"/>
      </rPr>
      <t>d</t>
    </r>
    <r>
      <rPr>
        <sz val="12"/>
        <rFont val="Calibri"/>
        <family val="2"/>
        <scheme val="minor"/>
      </rPr>
      <t xml:space="preserve"> r</t>
    </r>
    <r>
      <rPr>
        <vertAlign val="subscript"/>
        <sz val="12"/>
        <rFont val="Calibri"/>
        <family val="2"/>
        <scheme val="minor"/>
      </rPr>
      <t>d</t>
    </r>
    <r>
      <rPr>
        <sz val="12"/>
        <rFont val="Calibri"/>
        <family val="2"/>
        <scheme val="minor"/>
      </rPr>
      <t xml:space="preserve"> (1-T), where w</t>
    </r>
    <r>
      <rPr>
        <vertAlign val="subscript"/>
        <sz val="12"/>
        <rFont val="Calibri"/>
        <family val="2"/>
        <scheme val="minor"/>
      </rPr>
      <t>e</t>
    </r>
    <r>
      <rPr>
        <sz val="12"/>
        <rFont val="Calibri"/>
        <family val="2"/>
        <scheme val="minor"/>
      </rPr>
      <t xml:space="preserve"> = (1-w</t>
    </r>
    <r>
      <rPr>
        <vertAlign val="subscript"/>
        <sz val="12"/>
        <rFont val="Calibri"/>
        <family val="2"/>
        <scheme val="minor"/>
      </rPr>
      <t>d</t>
    </r>
    <r>
      <rPr>
        <sz val="12"/>
        <rFont val="Calibri"/>
        <family val="2"/>
        <scheme val="minor"/>
      </rPr>
      <t>).</t>
    </r>
  </si>
  <si>
    <r>
      <t>f</t>
    </r>
    <r>
      <rPr>
        <sz val="12"/>
        <rFont val="Calibri"/>
        <family val="2"/>
        <scheme val="minor"/>
      </rPr>
      <t xml:space="preserve"> The value of the firm is calculated using the free cash flow valuation formula in Equation , modified to reflect the fact that Strasburg has zero growth: V = FCF / WACC.  Since Strasburg has zero growth, it requires no investment in capital, and its FCF is equal to its NOPAT.  Using the EBIT shown in Table 16-1:</t>
    </r>
  </si>
  <si>
    <r>
      <t>with debt, w</t>
    </r>
    <r>
      <rPr>
        <b/>
        <vertAlign val="subscript"/>
        <sz val="10"/>
        <rFont val="Calibri"/>
        <family val="2"/>
        <scheme val="minor"/>
      </rPr>
      <t>d</t>
    </r>
  </si>
  <si>
    <r>
      <t>The cost of equity, r</t>
    </r>
    <r>
      <rPr>
        <b/>
        <vertAlign val="subscript"/>
        <sz val="12"/>
        <color indexed="18"/>
        <rFont val="Calibri"/>
        <family val="2"/>
        <scheme val="minor"/>
      </rPr>
      <t>sL</t>
    </r>
    <r>
      <rPr>
        <b/>
        <sz val="12"/>
        <color indexed="18"/>
        <rFont val="Calibri"/>
        <family val="2"/>
        <scheme val="minor"/>
      </rPr>
      <t xml:space="preserve"> = r</t>
    </r>
    <r>
      <rPr>
        <b/>
        <vertAlign val="subscript"/>
        <sz val="12"/>
        <color indexed="18"/>
        <rFont val="Calibri"/>
        <family val="2"/>
        <scheme val="minor"/>
      </rPr>
      <t>sU</t>
    </r>
    <r>
      <rPr>
        <b/>
        <sz val="12"/>
        <color indexed="18"/>
        <rFont val="Calibri"/>
        <family val="2"/>
        <scheme val="minor"/>
      </rPr>
      <t xml:space="preserve"> + Risk premium = r</t>
    </r>
    <r>
      <rPr>
        <b/>
        <vertAlign val="subscript"/>
        <sz val="12"/>
        <color indexed="18"/>
        <rFont val="Calibri"/>
        <family val="2"/>
        <scheme val="minor"/>
      </rPr>
      <t>sU</t>
    </r>
    <r>
      <rPr>
        <b/>
        <sz val="12"/>
        <color indexed="18"/>
        <rFont val="Calibri"/>
        <family val="2"/>
        <scheme val="minor"/>
      </rPr>
      <t xml:space="preserve"> + (r</t>
    </r>
    <r>
      <rPr>
        <b/>
        <vertAlign val="subscript"/>
        <sz val="12"/>
        <color indexed="18"/>
        <rFont val="Calibri"/>
        <family val="2"/>
        <scheme val="minor"/>
      </rPr>
      <t>sU</t>
    </r>
    <r>
      <rPr>
        <b/>
        <sz val="12"/>
        <color indexed="18"/>
        <rFont val="Calibri"/>
        <family val="2"/>
        <scheme val="minor"/>
      </rPr>
      <t xml:space="preserve"> -r</t>
    </r>
    <r>
      <rPr>
        <b/>
        <vertAlign val="subscript"/>
        <sz val="12"/>
        <color indexed="18"/>
        <rFont val="Calibri"/>
        <family val="2"/>
        <scheme val="minor"/>
      </rPr>
      <t>d</t>
    </r>
    <r>
      <rPr>
        <b/>
        <sz val="12"/>
        <color indexed="18"/>
        <rFont val="Calibri"/>
        <family val="2"/>
        <scheme val="minor"/>
      </rPr>
      <t>)(D/S)</t>
    </r>
  </si>
  <si>
    <r>
      <t>Suppose that r</t>
    </r>
    <r>
      <rPr>
        <b/>
        <vertAlign val="subscript"/>
        <sz val="11"/>
        <color indexed="18"/>
        <rFont val="Calibri"/>
        <family val="2"/>
        <scheme val="minor"/>
      </rPr>
      <t>sL</t>
    </r>
    <r>
      <rPr>
        <b/>
        <sz val="11"/>
        <color indexed="18"/>
        <rFont val="Calibri"/>
        <family val="2"/>
        <scheme val="minor"/>
      </rPr>
      <t xml:space="preserve"> = r</t>
    </r>
    <r>
      <rPr>
        <b/>
        <vertAlign val="subscript"/>
        <sz val="11"/>
        <color indexed="18"/>
        <rFont val="Calibri"/>
        <family val="2"/>
        <scheme val="minor"/>
      </rPr>
      <t>sU</t>
    </r>
    <r>
      <rPr>
        <b/>
        <sz val="11"/>
        <color indexed="18"/>
        <rFont val="Calibri"/>
        <family val="2"/>
        <scheme val="minor"/>
      </rPr>
      <t xml:space="preserve"> = 10%.  We will show that this leads to an arbitrage opportunity.</t>
    </r>
  </si>
  <si>
    <r>
      <t>Value of Stock = (EBIT - r</t>
    </r>
    <r>
      <rPr>
        <b/>
        <vertAlign val="subscript"/>
        <sz val="10"/>
        <rFont val="Calibri"/>
        <family val="2"/>
        <scheme val="minor"/>
      </rPr>
      <t>d</t>
    </r>
    <r>
      <rPr>
        <b/>
        <sz val="10"/>
        <rFont val="Calibri"/>
        <family val="2"/>
        <scheme val="minor"/>
      </rPr>
      <t>D)/r</t>
    </r>
    <r>
      <rPr>
        <b/>
        <vertAlign val="subscript"/>
        <sz val="10"/>
        <rFont val="Calibri"/>
        <family val="2"/>
        <scheme val="minor"/>
      </rPr>
      <t>S</t>
    </r>
  </si>
  <si>
    <r>
      <t>If the cost of equity for L, r</t>
    </r>
    <r>
      <rPr>
        <b/>
        <vertAlign val="subscript"/>
        <sz val="10"/>
        <color indexed="18"/>
        <rFont val="Calibri"/>
        <family val="2"/>
        <scheme val="minor"/>
      </rPr>
      <t>sL</t>
    </r>
    <r>
      <rPr>
        <b/>
        <sz val="10"/>
        <color indexed="18"/>
        <rFont val="Calibri"/>
        <family val="2"/>
        <scheme val="minor"/>
      </rPr>
      <t xml:space="preserve"> = r</t>
    </r>
    <r>
      <rPr>
        <b/>
        <vertAlign val="subscript"/>
        <sz val="10"/>
        <color indexed="18"/>
        <rFont val="Calibri"/>
        <family val="2"/>
        <scheme val="minor"/>
      </rPr>
      <t>sU</t>
    </r>
    <r>
      <rPr>
        <b/>
        <sz val="10"/>
        <color indexed="18"/>
        <rFont val="Calibri"/>
        <family val="2"/>
        <scheme val="minor"/>
      </rPr>
      <t xml:space="preserve"> + Risk premium = r</t>
    </r>
    <r>
      <rPr>
        <b/>
        <vertAlign val="subscript"/>
        <sz val="10"/>
        <color indexed="18"/>
        <rFont val="Calibri"/>
        <family val="2"/>
        <scheme val="minor"/>
      </rPr>
      <t>sU</t>
    </r>
    <r>
      <rPr>
        <b/>
        <sz val="10"/>
        <color indexed="18"/>
        <rFont val="Calibri"/>
        <family val="2"/>
        <scheme val="minor"/>
      </rPr>
      <t xml:space="preserve"> + (r</t>
    </r>
    <r>
      <rPr>
        <b/>
        <vertAlign val="subscript"/>
        <sz val="10"/>
        <color indexed="18"/>
        <rFont val="Calibri"/>
        <family val="2"/>
        <scheme val="minor"/>
      </rPr>
      <t>sU</t>
    </r>
    <r>
      <rPr>
        <b/>
        <sz val="10"/>
        <color indexed="18"/>
        <rFont val="Calibri"/>
        <family val="2"/>
        <scheme val="minor"/>
      </rPr>
      <t xml:space="preserve"> -r</t>
    </r>
    <r>
      <rPr>
        <b/>
        <vertAlign val="subscript"/>
        <sz val="10"/>
        <color indexed="18"/>
        <rFont val="Calibri"/>
        <family val="2"/>
        <scheme val="minor"/>
      </rPr>
      <t>d</t>
    </r>
    <r>
      <rPr>
        <b/>
        <sz val="10"/>
        <color indexed="18"/>
        <rFont val="Calibri"/>
        <family val="2"/>
        <scheme val="minor"/>
      </rPr>
      <t>)(D/S), then the cost of the portfolio of U and borrowing is equal to the cost of L, and the income of the portfolio of U and borrowing equals the income from L and no arbitrage opportunity exists.</t>
    </r>
  </si>
  <si>
    <r>
      <t>Value of levered  firm is the unlevered value plus the debt tax shield: V</t>
    </r>
    <r>
      <rPr>
        <b/>
        <vertAlign val="subscript"/>
        <sz val="10"/>
        <color indexed="18"/>
        <rFont val="Calibri"/>
        <family val="2"/>
        <scheme val="minor"/>
      </rPr>
      <t>L</t>
    </r>
    <r>
      <rPr>
        <b/>
        <sz val="10"/>
        <color indexed="18"/>
        <rFont val="Calibri"/>
        <family val="2"/>
        <scheme val="minor"/>
      </rPr>
      <t xml:space="preserve"> = V</t>
    </r>
    <r>
      <rPr>
        <b/>
        <vertAlign val="subscript"/>
        <sz val="10"/>
        <color indexed="18"/>
        <rFont val="Calibri"/>
        <family val="2"/>
        <scheme val="minor"/>
      </rPr>
      <t>U</t>
    </r>
    <r>
      <rPr>
        <b/>
        <sz val="10"/>
        <color indexed="18"/>
        <rFont val="Calibri"/>
        <family val="2"/>
        <scheme val="minor"/>
      </rPr>
      <t xml:space="preserve"> + TD</t>
    </r>
  </si>
  <si>
    <r>
      <t>r</t>
    </r>
    <r>
      <rPr>
        <b/>
        <vertAlign val="subscript"/>
        <sz val="10"/>
        <color indexed="18"/>
        <rFont val="Calibri"/>
        <family val="2"/>
        <scheme val="minor"/>
      </rPr>
      <t>sL</t>
    </r>
    <r>
      <rPr>
        <b/>
        <sz val="10"/>
        <color indexed="18"/>
        <rFont val="Calibri"/>
        <family val="2"/>
        <scheme val="minor"/>
      </rPr>
      <t xml:space="preserve"> = r</t>
    </r>
    <r>
      <rPr>
        <b/>
        <vertAlign val="subscript"/>
        <sz val="10"/>
        <color indexed="18"/>
        <rFont val="Calibri"/>
        <family val="2"/>
        <scheme val="minor"/>
      </rPr>
      <t>sU</t>
    </r>
    <r>
      <rPr>
        <b/>
        <sz val="10"/>
        <color indexed="18"/>
        <rFont val="Calibri"/>
        <family val="2"/>
        <scheme val="minor"/>
      </rPr>
      <t xml:space="preserve"> + (r</t>
    </r>
    <r>
      <rPr>
        <b/>
        <vertAlign val="subscript"/>
        <sz val="10"/>
        <color indexed="18"/>
        <rFont val="Calibri"/>
        <family val="2"/>
        <scheme val="minor"/>
      </rPr>
      <t>sU</t>
    </r>
    <r>
      <rPr>
        <b/>
        <sz val="10"/>
        <color indexed="18"/>
        <rFont val="Calibri"/>
        <family val="2"/>
        <scheme val="minor"/>
      </rPr>
      <t xml:space="preserve"> - r</t>
    </r>
    <r>
      <rPr>
        <b/>
        <vertAlign val="subscript"/>
        <sz val="10"/>
        <color indexed="18"/>
        <rFont val="Calibri"/>
        <family val="2"/>
        <scheme val="minor"/>
      </rPr>
      <t>d</t>
    </r>
    <r>
      <rPr>
        <b/>
        <sz val="10"/>
        <color indexed="18"/>
        <rFont val="Calibri"/>
        <family val="2"/>
        <scheme val="minor"/>
      </rPr>
      <t>)(1-T)(D/S)</t>
    </r>
  </si>
  <si>
    <r>
      <t>r</t>
    </r>
    <r>
      <rPr>
        <b/>
        <vertAlign val="subscript"/>
        <sz val="10"/>
        <rFont val="Calibri"/>
        <family val="2"/>
        <scheme val="minor"/>
      </rPr>
      <t>d</t>
    </r>
  </si>
  <si>
    <r>
      <t>r</t>
    </r>
    <r>
      <rPr>
        <b/>
        <vertAlign val="subscript"/>
        <sz val="10"/>
        <rFont val="Calibri"/>
        <family val="2"/>
        <scheme val="minor"/>
      </rPr>
      <t>s</t>
    </r>
  </si>
  <si>
    <r>
      <t>r</t>
    </r>
    <r>
      <rPr>
        <b/>
        <vertAlign val="subscript"/>
        <sz val="10"/>
        <color indexed="8"/>
        <rFont val="Calibri"/>
        <family val="2"/>
        <scheme val="minor"/>
      </rPr>
      <t>sL</t>
    </r>
    <r>
      <rPr>
        <b/>
        <sz val="10"/>
        <color indexed="8"/>
        <rFont val="Calibri"/>
        <family val="2"/>
        <scheme val="minor"/>
      </rPr>
      <t xml:space="preserve"> = r</t>
    </r>
    <r>
      <rPr>
        <b/>
        <vertAlign val="subscript"/>
        <sz val="10"/>
        <color indexed="8"/>
        <rFont val="Calibri"/>
        <family val="2"/>
        <scheme val="minor"/>
      </rPr>
      <t>sU</t>
    </r>
    <r>
      <rPr>
        <b/>
        <sz val="10"/>
        <color indexed="8"/>
        <rFont val="Calibri"/>
        <family val="2"/>
        <scheme val="minor"/>
      </rPr>
      <t xml:space="preserve"> + (r</t>
    </r>
    <r>
      <rPr>
        <b/>
        <vertAlign val="subscript"/>
        <sz val="10"/>
        <color indexed="8"/>
        <rFont val="Calibri"/>
        <family val="2"/>
        <scheme val="minor"/>
      </rPr>
      <t>sU</t>
    </r>
    <r>
      <rPr>
        <b/>
        <sz val="10"/>
        <color indexed="8"/>
        <rFont val="Calibri"/>
        <family val="2"/>
        <scheme val="minor"/>
      </rPr>
      <t xml:space="preserve"> - r</t>
    </r>
    <r>
      <rPr>
        <b/>
        <vertAlign val="subscript"/>
        <sz val="10"/>
        <color indexed="8"/>
        <rFont val="Calibri"/>
        <family val="2"/>
        <scheme val="minor"/>
      </rPr>
      <t>d</t>
    </r>
    <r>
      <rPr>
        <b/>
        <sz val="10"/>
        <color indexed="8"/>
        <rFont val="Calibri"/>
        <family val="2"/>
        <scheme val="minor"/>
      </rPr>
      <t>)(1-T)(D/S)</t>
    </r>
  </si>
  <si>
    <r>
      <t>Value of Stock = (EBIT - r</t>
    </r>
    <r>
      <rPr>
        <b/>
        <vertAlign val="subscript"/>
        <sz val="10"/>
        <color indexed="8"/>
        <rFont val="Calibri"/>
        <family val="2"/>
        <scheme val="minor"/>
      </rPr>
      <t>d</t>
    </r>
    <r>
      <rPr>
        <b/>
        <sz val="10"/>
        <color indexed="8"/>
        <rFont val="Calibri"/>
        <family val="2"/>
        <scheme val="minor"/>
      </rPr>
      <t>D)(1 - T)/r</t>
    </r>
    <r>
      <rPr>
        <b/>
        <vertAlign val="subscript"/>
        <sz val="10"/>
        <color indexed="8"/>
        <rFont val="Calibri"/>
        <family val="2"/>
        <scheme val="minor"/>
      </rPr>
      <t>S</t>
    </r>
  </si>
  <si>
    <r>
      <t>WACC = (D/V)r</t>
    </r>
    <r>
      <rPr>
        <b/>
        <vertAlign val="subscript"/>
        <sz val="10"/>
        <color indexed="8"/>
        <rFont val="Calibri"/>
        <family val="2"/>
        <scheme val="minor"/>
      </rPr>
      <t>d</t>
    </r>
    <r>
      <rPr>
        <b/>
        <sz val="10"/>
        <color indexed="8"/>
        <rFont val="Calibri"/>
        <family val="2"/>
        <scheme val="minor"/>
      </rPr>
      <t>(1-T) + (S/V)r</t>
    </r>
    <r>
      <rPr>
        <b/>
        <vertAlign val="subscript"/>
        <sz val="10"/>
        <color indexed="8"/>
        <rFont val="Calibri"/>
        <family val="2"/>
        <scheme val="minor"/>
      </rPr>
      <t>s</t>
    </r>
  </si>
  <si>
    <r>
      <t>T</t>
    </r>
    <r>
      <rPr>
        <b/>
        <vertAlign val="subscript"/>
        <sz val="10"/>
        <rFont val="Calibri"/>
        <family val="2"/>
        <scheme val="minor"/>
      </rPr>
      <t>c</t>
    </r>
    <r>
      <rPr>
        <b/>
        <sz val="10"/>
        <rFont val="Calibri"/>
        <family val="2"/>
        <scheme val="minor"/>
      </rPr>
      <t xml:space="preserve"> = </t>
    </r>
  </si>
  <si>
    <r>
      <t>Miller extended the original MM model to include personal taxes.  If T</t>
    </r>
    <r>
      <rPr>
        <b/>
        <vertAlign val="subscript"/>
        <sz val="10"/>
        <color indexed="18"/>
        <rFont val="Calibri"/>
        <family val="2"/>
        <scheme val="minor"/>
      </rPr>
      <t>s</t>
    </r>
    <r>
      <rPr>
        <b/>
        <sz val="10"/>
        <color indexed="18"/>
        <rFont val="Calibri"/>
        <family val="2"/>
        <scheme val="minor"/>
      </rPr>
      <t xml:space="preserve"> is the personal tax rate, Tc is the corporate tax rate, and Td is the tax rate on interest income, then the new expression for VU is:</t>
    </r>
  </si>
  <si>
    <r>
      <t>T</t>
    </r>
    <r>
      <rPr>
        <b/>
        <vertAlign val="subscript"/>
        <sz val="10"/>
        <color indexed="8"/>
        <rFont val="Calibri"/>
        <family val="2"/>
        <scheme val="minor"/>
      </rPr>
      <t>c</t>
    </r>
  </si>
  <si>
    <r>
      <t>T</t>
    </r>
    <r>
      <rPr>
        <b/>
        <vertAlign val="subscript"/>
        <sz val="10"/>
        <color indexed="8"/>
        <rFont val="Calibri"/>
        <family val="2"/>
        <scheme val="minor"/>
      </rPr>
      <t>s</t>
    </r>
  </si>
  <si>
    <r>
      <t>T</t>
    </r>
    <r>
      <rPr>
        <b/>
        <vertAlign val="subscript"/>
        <sz val="10"/>
        <color indexed="8"/>
        <rFont val="Calibri"/>
        <family val="2"/>
        <scheme val="minor"/>
      </rPr>
      <t>d</t>
    </r>
  </si>
  <si>
    <r>
      <t>Further discussion of Operating Leverage (</t>
    </r>
    <r>
      <rPr>
        <b/>
        <u/>
        <sz val="8"/>
        <rFont val="Calibri"/>
        <family val="2"/>
        <scheme val="minor"/>
      </rPr>
      <t>Beyond the scope</t>
    </r>
    <r>
      <rPr>
        <b/>
        <sz val="8"/>
        <rFont val="Calibri"/>
        <family val="2"/>
        <scheme val="minor"/>
      </rPr>
      <t xml:space="preserve"> of "FdlE", but interesting)</t>
    </r>
  </si>
</sst>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quot;$&quot;#,##0_);\(&quot;$&quot;#,##0\)"/>
    <numFmt numFmtId="165" formatCode="&quot;$&quot;#,##0_);[Red]\(&quot;$&quot;#,##0\)"/>
    <numFmt numFmtId="166" formatCode="&quot;$&quot;#,##0.00_);\(&quot;$&quot;#,##0.00\)"/>
    <numFmt numFmtId="167" formatCode="&quot;$&quot;#,##0.00_);[Red]\(&quot;$&quot;#,##0.00\)"/>
    <numFmt numFmtId="170" formatCode="_(&quot;$&quot;* #,##0.00_);_(&quot;$&quot;* \(#,##0.00\);_(&quot;$&quot;* &quot;-&quot;??_);_(@_)"/>
    <numFmt numFmtId="171" formatCode="_(* #,##0.00_);_(* \(#,##0.00\);_(* &quot;-&quot;??_);_(@_)"/>
    <numFmt numFmtId="173" formatCode="0.0%"/>
    <numFmt numFmtId="178" formatCode="&quot;$&quot;#,##0"/>
    <numFmt numFmtId="184" formatCode="&quot;$&quot;#,##0.00"/>
    <numFmt numFmtId="197" formatCode="0.000%"/>
    <numFmt numFmtId="200" formatCode="_(* #,##0_);_(* \(#,##0\);_(* &quot;-&quot;??_);_(@_)"/>
  </numFmts>
  <fonts count="64" x14ac:knownFonts="1">
    <font>
      <sz val="10"/>
      <name val="Times New Roman"/>
    </font>
    <font>
      <sz val="10"/>
      <name val="Times New Roman"/>
    </font>
    <font>
      <u/>
      <sz val="10"/>
      <color indexed="12"/>
      <name val="Times New Roman"/>
    </font>
    <font>
      <b/>
      <sz val="8"/>
      <color indexed="81"/>
      <name val="Tahoma"/>
    </font>
    <font>
      <sz val="8"/>
      <color indexed="81"/>
      <name val="Tahoma"/>
    </font>
    <font>
      <b/>
      <sz val="8"/>
      <color indexed="8"/>
      <name val="Tahoma"/>
      <family val="2"/>
    </font>
    <font>
      <sz val="10"/>
      <color indexed="81"/>
      <name val="Tahoma"/>
    </font>
    <font>
      <b/>
      <sz val="10"/>
      <name val="Calibri"/>
      <family val="2"/>
      <scheme val="minor"/>
    </font>
    <font>
      <b/>
      <sz val="8"/>
      <name val="Calibri"/>
      <family val="2"/>
      <scheme val="minor"/>
    </font>
    <font>
      <b/>
      <sz val="12"/>
      <color indexed="16"/>
      <name val="Calibri"/>
      <family val="2"/>
      <scheme val="minor"/>
    </font>
    <font>
      <b/>
      <sz val="10"/>
      <color indexed="18"/>
      <name val="Calibri"/>
      <family val="2"/>
      <scheme val="minor"/>
    </font>
    <font>
      <b/>
      <u val="double"/>
      <sz val="10"/>
      <color indexed="10"/>
      <name val="Calibri"/>
      <family val="2"/>
      <scheme val="minor"/>
    </font>
    <font>
      <u/>
      <sz val="10"/>
      <color indexed="12"/>
      <name val="Calibri"/>
      <family val="2"/>
      <scheme val="minor"/>
    </font>
    <font>
      <b/>
      <sz val="11"/>
      <color indexed="16"/>
      <name val="Calibri"/>
      <family val="2"/>
      <scheme val="minor"/>
    </font>
    <font>
      <b/>
      <sz val="10"/>
      <color indexed="16"/>
      <name val="Calibri"/>
      <family val="2"/>
      <scheme val="minor"/>
    </font>
    <font>
      <b/>
      <sz val="10"/>
      <color indexed="12"/>
      <name val="Calibri"/>
      <family val="2"/>
      <scheme val="minor"/>
    </font>
    <font>
      <b/>
      <sz val="7"/>
      <name val="Calibri"/>
      <family val="2"/>
      <scheme val="minor"/>
    </font>
    <font>
      <b/>
      <u val="double"/>
      <sz val="10"/>
      <color indexed="12"/>
      <name val="Calibri"/>
      <family val="2"/>
      <scheme val="minor"/>
    </font>
    <font>
      <b/>
      <sz val="10"/>
      <color indexed="10"/>
      <name val="Calibri"/>
      <family val="2"/>
      <scheme val="minor"/>
    </font>
    <font>
      <b/>
      <sz val="12"/>
      <color indexed="12"/>
      <name val="Calibri"/>
      <family val="2"/>
      <scheme val="minor"/>
    </font>
    <font>
      <b/>
      <sz val="10"/>
      <color indexed="53"/>
      <name val="Calibri"/>
      <family val="2"/>
      <scheme val="minor"/>
    </font>
    <font>
      <b/>
      <sz val="10"/>
      <color indexed="20"/>
      <name val="Calibri"/>
      <family val="2"/>
      <scheme val="minor"/>
    </font>
    <font>
      <b/>
      <sz val="10"/>
      <color indexed="17"/>
      <name val="Calibri"/>
      <family val="2"/>
      <scheme val="minor"/>
    </font>
    <font>
      <b/>
      <u val="double"/>
      <sz val="10"/>
      <color indexed="53"/>
      <name val="Calibri"/>
      <family val="2"/>
      <scheme val="minor"/>
    </font>
    <font>
      <b/>
      <u val="double"/>
      <sz val="10"/>
      <color indexed="20"/>
      <name val="Calibri"/>
      <family val="2"/>
      <scheme val="minor"/>
    </font>
    <font>
      <b/>
      <i/>
      <sz val="12"/>
      <color indexed="20"/>
      <name val="Calibri"/>
      <family val="2"/>
      <scheme val="minor"/>
    </font>
    <font>
      <b/>
      <i/>
      <sz val="12"/>
      <color indexed="17"/>
      <name val="Calibri"/>
      <family val="2"/>
      <scheme val="minor"/>
    </font>
    <font>
      <b/>
      <sz val="14"/>
      <color indexed="10"/>
      <name val="Calibri"/>
      <family val="2"/>
      <scheme val="minor"/>
    </font>
    <font>
      <b/>
      <u/>
      <sz val="10"/>
      <color indexed="10"/>
      <name val="Calibri"/>
      <family val="2"/>
      <scheme val="minor"/>
    </font>
    <font>
      <b/>
      <sz val="11"/>
      <color indexed="18"/>
      <name val="Calibri"/>
      <family val="2"/>
      <scheme val="minor"/>
    </font>
    <font>
      <b/>
      <u val="double"/>
      <sz val="11"/>
      <color indexed="10"/>
      <name val="Calibri"/>
      <family val="2"/>
      <scheme val="minor"/>
    </font>
    <font>
      <b/>
      <vertAlign val="subscript"/>
      <sz val="10"/>
      <name val="Calibri"/>
      <family val="2"/>
      <scheme val="minor"/>
    </font>
    <font>
      <b/>
      <vertAlign val="superscript"/>
      <sz val="10"/>
      <name val="Calibri"/>
      <family val="2"/>
      <scheme val="minor"/>
    </font>
    <font>
      <b/>
      <u/>
      <sz val="10"/>
      <color indexed="20"/>
      <name val="Calibri"/>
      <family val="2"/>
      <scheme val="minor"/>
    </font>
    <font>
      <b/>
      <vertAlign val="subscript"/>
      <sz val="10"/>
      <color indexed="20"/>
      <name val="Calibri"/>
      <family val="2"/>
      <scheme val="minor"/>
    </font>
    <font>
      <sz val="12"/>
      <color indexed="20"/>
      <name val="Calibri"/>
      <family val="2"/>
      <scheme val="minor"/>
    </font>
    <font>
      <b/>
      <u/>
      <sz val="10"/>
      <color indexed="21"/>
      <name val="Calibri"/>
      <family val="2"/>
      <scheme val="minor"/>
    </font>
    <font>
      <b/>
      <sz val="10"/>
      <color indexed="21"/>
      <name val="Calibri"/>
      <family val="2"/>
      <scheme val="minor"/>
    </font>
    <font>
      <b/>
      <vertAlign val="subscript"/>
      <sz val="10"/>
      <color indexed="21"/>
      <name val="Calibri"/>
      <family val="2"/>
      <scheme val="minor"/>
    </font>
    <font>
      <sz val="12"/>
      <color indexed="21"/>
      <name val="Calibri"/>
      <family val="2"/>
      <scheme val="minor"/>
    </font>
    <font>
      <b/>
      <i/>
      <sz val="6"/>
      <name val="Calibri"/>
      <family val="2"/>
      <scheme val="minor"/>
    </font>
    <font>
      <b/>
      <u/>
      <sz val="10"/>
      <color indexed="18"/>
      <name val="Calibri"/>
      <family val="2"/>
      <scheme val="minor"/>
    </font>
    <font>
      <sz val="10"/>
      <name val="Calibri"/>
      <family val="2"/>
      <scheme val="minor"/>
    </font>
    <font>
      <b/>
      <sz val="10"/>
      <color indexed="8"/>
      <name val="Calibri"/>
      <family val="2"/>
      <scheme val="minor"/>
    </font>
    <font>
      <b/>
      <vertAlign val="subscript"/>
      <sz val="10"/>
      <color indexed="8"/>
      <name val="Calibri"/>
      <family val="2"/>
      <scheme val="minor"/>
    </font>
    <font>
      <b/>
      <vertAlign val="subscript"/>
      <sz val="11"/>
      <color indexed="16"/>
      <name val="Calibri"/>
      <family val="2"/>
      <scheme val="minor"/>
    </font>
    <font>
      <b/>
      <vertAlign val="subscript"/>
      <sz val="10"/>
      <color indexed="18"/>
      <name val="Calibri"/>
      <family val="2"/>
      <scheme val="minor"/>
    </font>
    <font>
      <b/>
      <vertAlign val="subscript"/>
      <sz val="10"/>
      <color indexed="16"/>
      <name val="Calibri"/>
      <family val="2"/>
      <scheme val="minor"/>
    </font>
    <font>
      <sz val="12"/>
      <name val="Calibri"/>
      <family val="2"/>
      <scheme val="minor"/>
    </font>
    <font>
      <vertAlign val="superscript"/>
      <sz val="12"/>
      <name val="Calibri"/>
      <family val="2"/>
      <scheme val="minor"/>
    </font>
    <font>
      <vertAlign val="subscript"/>
      <sz val="12"/>
      <name val="Calibri"/>
      <family val="2"/>
      <scheme val="minor"/>
    </font>
    <font>
      <b/>
      <sz val="10"/>
      <color indexed="48"/>
      <name val="Calibri"/>
      <family val="2"/>
      <scheme val="minor"/>
    </font>
    <font>
      <b/>
      <sz val="10"/>
      <color indexed="62"/>
      <name val="Calibri"/>
      <family val="2"/>
      <scheme val="minor"/>
    </font>
    <font>
      <b/>
      <sz val="11"/>
      <color indexed="8"/>
      <name val="Calibri"/>
      <family val="2"/>
      <scheme val="minor"/>
    </font>
    <font>
      <b/>
      <sz val="11"/>
      <name val="Calibri"/>
      <family val="2"/>
      <scheme val="minor"/>
    </font>
    <font>
      <b/>
      <sz val="12"/>
      <color indexed="18"/>
      <name val="Calibri"/>
      <family val="2"/>
      <scheme val="minor"/>
    </font>
    <font>
      <b/>
      <vertAlign val="subscript"/>
      <sz val="12"/>
      <color indexed="18"/>
      <name val="Calibri"/>
      <family val="2"/>
      <scheme val="minor"/>
    </font>
    <font>
      <b/>
      <vertAlign val="subscript"/>
      <sz val="11"/>
      <color indexed="18"/>
      <name val="Calibri"/>
      <family val="2"/>
      <scheme val="minor"/>
    </font>
    <font>
      <b/>
      <vertAlign val="subscript"/>
      <sz val="10"/>
      <color indexed="12"/>
      <name val="Calibri"/>
      <family val="2"/>
      <scheme val="minor"/>
    </font>
    <font>
      <b/>
      <u/>
      <sz val="8"/>
      <name val="Calibri"/>
      <family val="2"/>
      <scheme val="minor"/>
    </font>
    <font>
      <b/>
      <sz val="6"/>
      <name val="Calibri"/>
      <family val="2"/>
      <scheme val="minor"/>
    </font>
    <font>
      <b/>
      <sz val="6"/>
      <color indexed="12"/>
      <name val="Calibri"/>
      <family val="2"/>
      <scheme val="minor"/>
    </font>
    <font>
      <b/>
      <sz val="6"/>
      <color indexed="10"/>
      <name val="Calibri"/>
      <family val="2"/>
      <scheme val="minor"/>
    </font>
    <font>
      <b/>
      <sz val="6"/>
      <color indexed="8"/>
      <name val="Calibri"/>
      <family val="2"/>
      <scheme val="minor"/>
    </font>
  </fonts>
  <fills count="10">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41"/>
        <bgColor indexed="64"/>
      </patternFill>
    </fill>
    <fill>
      <patternFill patternType="solid">
        <fgColor indexed="47"/>
        <bgColor indexed="64"/>
      </patternFill>
    </fill>
    <fill>
      <patternFill patternType="solid">
        <fgColor indexed="44"/>
        <bgColor indexed="64"/>
      </patternFill>
    </fill>
    <fill>
      <patternFill patternType="solid">
        <fgColor indexed="49"/>
        <bgColor indexed="64"/>
      </patternFill>
    </fill>
    <fill>
      <patternFill patternType="solid">
        <fgColor indexed="9"/>
        <bgColor indexed="64"/>
      </patternFill>
    </fill>
    <fill>
      <patternFill patternType="solid">
        <fgColor indexed="26"/>
        <bgColor indexed="64"/>
      </patternFill>
    </fill>
  </fills>
  <borders count="21">
    <border>
      <left/>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17"/>
      </bottom>
      <diagonal/>
    </border>
    <border>
      <left/>
      <right/>
      <top style="medium">
        <color indexed="64"/>
      </top>
      <bottom style="medium">
        <color indexed="17"/>
      </bottom>
      <diagonal/>
    </border>
    <border>
      <left/>
      <right style="medium">
        <color indexed="64"/>
      </right>
      <top style="medium">
        <color indexed="64"/>
      </top>
      <bottom style="medium">
        <color indexed="17"/>
      </bottom>
      <diagonal/>
    </border>
    <border>
      <left style="medium">
        <color indexed="64"/>
      </left>
      <right style="medium">
        <color indexed="64"/>
      </right>
      <top style="thin">
        <color indexed="64"/>
      </top>
      <bottom/>
      <diagonal/>
    </border>
  </borders>
  <cellStyleXfs count="5">
    <xf numFmtId="0" fontId="0" fillId="0" borderId="0"/>
    <xf numFmtId="0" fontId="2" fillId="0" borderId="0" applyNumberFormat="0" applyFill="0" applyBorder="0" applyAlignment="0" applyProtection="0">
      <alignment vertical="top"/>
      <protection locked="0"/>
    </xf>
    <xf numFmtId="171" fontId="1" fillId="0" borderId="0" applyFont="0" applyFill="0" applyBorder="0" applyAlignment="0" applyProtection="0"/>
    <xf numFmtId="170" fontId="1" fillId="0" borderId="0" applyFont="0" applyFill="0" applyBorder="0" applyAlignment="0" applyProtection="0"/>
    <xf numFmtId="9" fontId="1" fillId="0" borderId="0" applyFont="0" applyFill="0" applyBorder="0" applyAlignment="0" applyProtection="0"/>
  </cellStyleXfs>
  <cellXfs count="436">
    <xf numFmtId="0" fontId="0" fillId="0" borderId="0" xfId="0"/>
    <xf numFmtId="0" fontId="7" fillId="0" borderId="0" xfId="0" applyFont="1" applyAlignment="1">
      <alignment horizontal="left"/>
    </xf>
    <xf numFmtId="0" fontId="7" fillId="0" borderId="0" xfId="0" applyFont="1"/>
    <xf numFmtId="22" fontId="8" fillId="0" borderId="0" xfId="0" applyNumberFormat="1" applyFont="1" applyAlignment="1">
      <alignment horizontal="center"/>
    </xf>
    <xf numFmtId="14" fontId="7" fillId="0" borderId="0" xfId="0" applyNumberFormat="1" applyFont="1"/>
    <xf numFmtId="22" fontId="8" fillId="0" borderId="0" xfId="0" applyNumberFormat="1" applyFont="1"/>
    <xf numFmtId="0" fontId="9" fillId="0" borderId="0" xfId="0" applyFont="1" applyAlignment="1">
      <alignment horizontal="center"/>
    </xf>
    <xf numFmtId="0" fontId="10" fillId="0" borderId="0" xfId="0" applyFont="1" applyFill="1" applyAlignment="1">
      <alignment horizontal="left" vertical="center" wrapText="1"/>
    </xf>
    <xf numFmtId="0" fontId="12" fillId="0" borderId="0" xfId="1" applyFont="1" applyAlignment="1" applyProtection="1"/>
    <xf numFmtId="0" fontId="13" fillId="0" borderId="0" xfId="0" applyFont="1"/>
    <xf numFmtId="0" fontId="14" fillId="0" borderId="0" xfId="0" applyFont="1"/>
    <xf numFmtId="0" fontId="10" fillId="0" borderId="0" xfId="0" applyFont="1" applyAlignment="1">
      <alignment horizontal="left" vertical="center" wrapText="1"/>
    </xf>
    <xf numFmtId="0" fontId="15" fillId="9" borderId="10" xfId="0" applyFont="1" applyFill="1" applyBorder="1"/>
    <xf numFmtId="0" fontId="7" fillId="9" borderId="11" xfId="0" applyFont="1" applyFill="1" applyBorder="1"/>
    <xf numFmtId="0" fontId="7" fillId="9" borderId="4" xfId="0" applyFont="1" applyFill="1" applyBorder="1" applyAlignment="1">
      <alignment horizontal="center"/>
    </xf>
    <xf numFmtId="0" fontId="7" fillId="0" borderId="0" xfId="0" applyFont="1" applyFill="1"/>
    <xf numFmtId="0" fontId="7" fillId="9" borderId="8" xfId="0" applyFont="1" applyFill="1" applyBorder="1"/>
    <xf numFmtId="0" fontId="7" fillId="9" borderId="9" xfId="0" applyFont="1" applyFill="1" applyBorder="1"/>
    <xf numFmtId="0" fontId="7" fillId="9" borderId="1" xfId="0" applyFont="1" applyFill="1" applyBorder="1" applyAlignment="1">
      <alignment horizontal="center"/>
    </xf>
    <xf numFmtId="0" fontId="16" fillId="0" borderId="5" xfId="0" applyFont="1" applyBorder="1" applyAlignment="1">
      <alignment vertical="center" wrapText="1"/>
    </xf>
    <xf numFmtId="0" fontId="16" fillId="0" borderId="0" xfId="0" applyFont="1" applyBorder="1" applyAlignment="1">
      <alignment vertical="center" wrapText="1"/>
    </xf>
    <xf numFmtId="0" fontId="7" fillId="9" borderId="5" xfId="0" applyFont="1" applyFill="1" applyBorder="1"/>
    <xf numFmtId="0" fontId="7" fillId="9" borderId="0" xfId="0" applyFont="1" applyFill="1" applyBorder="1"/>
    <xf numFmtId="167" fontId="15" fillId="9" borderId="4" xfId="0" applyNumberFormat="1" applyFont="1" applyFill="1" applyBorder="1"/>
    <xf numFmtId="167" fontId="15" fillId="9" borderId="6" xfId="0" applyNumberFormat="1" applyFont="1" applyFill="1" applyBorder="1"/>
    <xf numFmtId="167" fontId="15" fillId="9" borderId="3" xfId="0" applyNumberFormat="1" applyFont="1" applyFill="1" applyBorder="1"/>
    <xf numFmtId="165" fontId="15" fillId="9" borderId="3" xfId="0" applyNumberFormat="1" applyFont="1" applyFill="1" applyBorder="1"/>
    <xf numFmtId="165" fontId="17" fillId="9" borderId="6" xfId="0" applyNumberFormat="1" applyFont="1" applyFill="1" applyBorder="1"/>
    <xf numFmtId="165" fontId="18" fillId="9" borderId="3" xfId="0" applyNumberFormat="1" applyFont="1" applyFill="1" applyBorder="1"/>
    <xf numFmtId="164" fontId="18" fillId="9" borderId="6" xfId="0" applyNumberFormat="1" applyFont="1" applyFill="1" applyBorder="1"/>
    <xf numFmtId="9" fontId="15" fillId="9" borderId="1" xfId="0" applyNumberFormat="1" applyFont="1" applyFill="1" applyBorder="1"/>
    <xf numFmtId="9" fontId="15" fillId="9" borderId="12" xfId="0" applyNumberFormat="1" applyFont="1" applyFill="1" applyBorder="1"/>
    <xf numFmtId="0" fontId="19" fillId="0" borderId="0" xfId="0" applyFont="1"/>
    <xf numFmtId="0" fontId="20" fillId="4" borderId="7" xfId="0" applyFont="1" applyFill="1" applyBorder="1" applyAlignment="1">
      <alignment horizontal="center"/>
    </xf>
    <xf numFmtId="0" fontId="20" fillId="4" borderId="16" xfId="0" applyFont="1" applyFill="1" applyBorder="1" applyAlignment="1">
      <alignment horizontal="center"/>
    </xf>
    <xf numFmtId="0" fontId="20" fillId="4" borderId="15" xfId="0" applyFont="1" applyFill="1" applyBorder="1" applyAlignment="1">
      <alignment horizontal="center"/>
    </xf>
    <xf numFmtId="0" fontId="20" fillId="4" borderId="4" xfId="0" applyFont="1" applyFill="1" applyBorder="1" applyAlignment="1">
      <alignment horizontal="center"/>
    </xf>
    <xf numFmtId="0" fontId="7" fillId="6" borderId="10" xfId="0" applyFont="1" applyFill="1" applyBorder="1"/>
    <xf numFmtId="0" fontId="7" fillId="6" borderId="11" xfId="0" applyFont="1" applyFill="1" applyBorder="1"/>
    <xf numFmtId="0" fontId="20" fillId="4" borderId="1" xfId="0" applyFont="1" applyFill="1" applyBorder="1" applyAlignment="1">
      <alignment horizontal="center"/>
    </xf>
    <xf numFmtId="0" fontId="7" fillId="6" borderId="5" xfId="0" applyFont="1" applyFill="1" applyBorder="1"/>
    <xf numFmtId="0" fontId="7" fillId="6" borderId="6" xfId="0" applyFont="1" applyFill="1" applyBorder="1"/>
    <xf numFmtId="0" fontId="20" fillId="4" borderId="10" xfId="0" applyFont="1" applyFill="1" applyBorder="1" applyAlignment="1">
      <alignment horizontal="center"/>
    </xf>
    <xf numFmtId="0" fontId="20" fillId="4" borderId="13" xfId="0" applyFont="1" applyFill="1" applyBorder="1" applyAlignment="1">
      <alignment horizontal="center"/>
    </xf>
    <xf numFmtId="178" fontId="20" fillId="4" borderId="11" xfId="0" applyNumberFormat="1" applyFont="1" applyFill="1" applyBorder="1" applyAlignment="1">
      <alignment horizontal="center"/>
    </xf>
    <xf numFmtId="0" fontId="20" fillId="4" borderId="5" xfId="0" applyFont="1" applyFill="1" applyBorder="1" applyAlignment="1">
      <alignment horizontal="center"/>
    </xf>
    <xf numFmtId="3" fontId="20" fillId="4" borderId="0" xfId="0" applyNumberFormat="1" applyFont="1" applyFill="1" applyBorder="1" applyAlignment="1">
      <alignment horizontal="center"/>
    </xf>
    <xf numFmtId="178" fontId="20" fillId="4" borderId="6" xfId="0" applyNumberFormat="1" applyFont="1" applyFill="1" applyBorder="1" applyAlignment="1">
      <alignment horizontal="center"/>
    </xf>
    <xf numFmtId="0" fontId="7" fillId="6" borderId="8" xfId="0" applyFont="1" applyFill="1" applyBorder="1"/>
    <xf numFmtId="0" fontId="7" fillId="6" borderId="12" xfId="0" applyFont="1" applyFill="1" applyBorder="1"/>
    <xf numFmtId="0" fontId="20" fillId="4" borderId="8" xfId="0" applyFont="1" applyFill="1" applyBorder="1" applyAlignment="1">
      <alignment horizontal="center"/>
    </xf>
    <xf numFmtId="3" fontId="20" fillId="4" borderId="9" xfId="0" applyNumberFormat="1" applyFont="1" applyFill="1" applyBorder="1" applyAlignment="1">
      <alignment horizontal="center"/>
    </xf>
    <xf numFmtId="178" fontId="20" fillId="4" borderId="12" xfId="0" applyNumberFormat="1" applyFont="1" applyFill="1" applyBorder="1" applyAlignment="1">
      <alignment horizontal="center"/>
    </xf>
    <xf numFmtId="0" fontId="7" fillId="7" borderId="10" xfId="0" applyFont="1" applyFill="1" applyBorder="1"/>
    <xf numFmtId="0" fontId="7" fillId="7" borderId="13" xfId="0" applyFont="1" applyFill="1" applyBorder="1"/>
    <xf numFmtId="0" fontId="20" fillId="7" borderId="11" xfId="0" applyFont="1" applyFill="1" applyBorder="1"/>
    <xf numFmtId="3" fontId="20" fillId="5" borderId="2" xfId="0" applyNumberFormat="1" applyFont="1" applyFill="1" applyBorder="1" applyAlignment="1">
      <alignment horizontal="center"/>
    </xf>
    <xf numFmtId="178" fontId="20" fillId="5" borderId="2" xfId="0" applyNumberFormat="1" applyFont="1" applyFill="1" applyBorder="1" applyAlignment="1">
      <alignment horizontal="center"/>
    </xf>
    <xf numFmtId="0" fontId="7" fillId="7" borderId="5" xfId="0" applyFont="1" applyFill="1" applyBorder="1"/>
    <xf numFmtId="0" fontId="7" fillId="7" borderId="0" xfId="0" applyFont="1" applyFill="1" applyBorder="1"/>
    <xf numFmtId="0" fontId="20" fillId="7" borderId="6" xfId="0" applyFont="1" applyFill="1" applyBorder="1"/>
    <xf numFmtId="178" fontId="7" fillId="5" borderId="2" xfId="4" applyNumberFormat="1" applyFont="1" applyFill="1" applyBorder="1" applyAlignment="1">
      <alignment horizontal="center"/>
    </xf>
    <xf numFmtId="178" fontId="20" fillId="5" borderId="2" xfId="4" applyNumberFormat="1" applyFont="1" applyFill="1" applyBorder="1" applyAlignment="1">
      <alignment horizontal="center"/>
    </xf>
    <xf numFmtId="0" fontId="7" fillId="7" borderId="8" xfId="0" applyFont="1" applyFill="1" applyBorder="1"/>
    <xf numFmtId="0" fontId="7" fillId="7" borderId="9" xfId="0" applyFont="1" applyFill="1" applyBorder="1"/>
    <xf numFmtId="0" fontId="20" fillId="7" borderId="1" xfId="0" applyFont="1" applyFill="1" applyBorder="1"/>
    <xf numFmtId="2" fontId="20" fillId="5" borderId="2" xfId="0" applyNumberFormat="1" applyFont="1" applyFill="1" applyBorder="1" applyAlignment="1">
      <alignment horizontal="center"/>
    </xf>
    <xf numFmtId="2" fontId="20" fillId="5" borderId="12" xfId="0" applyNumberFormat="1" applyFont="1" applyFill="1" applyBorder="1" applyAlignment="1">
      <alignment horizontal="center"/>
    </xf>
    <xf numFmtId="0" fontId="20" fillId="0" borderId="0" xfId="0" applyFont="1"/>
    <xf numFmtId="0" fontId="21" fillId="0" borderId="0" xfId="0" applyFont="1"/>
    <xf numFmtId="2" fontId="21" fillId="0" borderId="0" xfId="0" applyNumberFormat="1" applyFont="1"/>
    <xf numFmtId="2" fontId="22" fillId="0" borderId="0" xfId="0" applyNumberFormat="1" applyFont="1"/>
    <xf numFmtId="0" fontId="22" fillId="0" borderId="0" xfId="0" applyFont="1"/>
    <xf numFmtId="0" fontId="21" fillId="3" borderId="10" xfId="0" applyFont="1" applyFill="1" applyBorder="1" applyAlignment="1">
      <alignment horizontal="center"/>
    </xf>
    <xf numFmtId="0" fontId="21" fillId="3" borderId="13" xfId="0" applyFont="1" applyFill="1" applyBorder="1" applyAlignment="1">
      <alignment horizontal="center"/>
    </xf>
    <xf numFmtId="0" fontId="21" fillId="3" borderId="11" xfId="0" applyFont="1" applyFill="1" applyBorder="1" applyAlignment="1">
      <alignment horizontal="center"/>
    </xf>
    <xf numFmtId="0" fontId="22" fillId="5" borderId="17" xfId="0" applyFont="1" applyFill="1" applyBorder="1" applyAlignment="1">
      <alignment horizontal="center"/>
    </xf>
    <xf numFmtId="0" fontId="22" fillId="5" borderId="18" xfId="0" applyFont="1" applyFill="1" applyBorder="1" applyAlignment="1">
      <alignment horizontal="center"/>
    </xf>
    <xf numFmtId="0" fontId="22" fillId="5" borderId="19" xfId="0" applyFont="1" applyFill="1" applyBorder="1" applyAlignment="1">
      <alignment horizontal="center"/>
    </xf>
    <xf numFmtId="0" fontId="21" fillId="3" borderId="4" xfId="0" applyFont="1" applyFill="1" applyBorder="1" applyAlignment="1">
      <alignment horizontal="center"/>
    </xf>
    <xf numFmtId="0" fontId="22" fillId="5" borderId="4" xfId="0" applyFont="1" applyFill="1" applyBorder="1" applyAlignment="1">
      <alignment horizontal="center"/>
    </xf>
    <xf numFmtId="0" fontId="21" fillId="3" borderId="3" xfId="0" applyFont="1" applyFill="1" applyBorder="1" applyAlignment="1">
      <alignment horizontal="center"/>
    </xf>
    <xf numFmtId="0" fontId="22" fillId="5" borderId="3" xfId="0" applyFont="1" applyFill="1" applyBorder="1" applyAlignment="1">
      <alignment horizontal="center"/>
    </xf>
    <xf numFmtId="0" fontId="21" fillId="3" borderId="1" xfId="0" applyFont="1" applyFill="1" applyBorder="1" applyAlignment="1">
      <alignment horizontal="center"/>
    </xf>
    <xf numFmtId="0" fontId="22" fillId="5" borderId="1" xfId="0" applyFont="1" applyFill="1" applyBorder="1" applyAlignment="1">
      <alignment horizontal="center"/>
    </xf>
    <xf numFmtId="178" fontId="21" fillId="3" borderId="5" xfId="0" applyNumberFormat="1" applyFont="1" applyFill="1" applyBorder="1" applyAlignment="1">
      <alignment horizontal="center"/>
    </xf>
    <xf numFmtId="164" fontId="21" fillId="3" borderId="0" xfId="0" applyNumberFormat="1" applyFont="1" applyFill="1" applyBorder="1" applyAlignment="1">
      <alignment horizontal="center"/>
    </xf>
    <xf numFmtId="173" fontId="21" fillId="3" borderId="6" xfId="4" applyNumberFormat="1" applyFont="1" applyFill="1" applyBorder="1" applyAlignment="1">
      <alignment horizontal="center"/>
    </xf>
    <xf numFmtId="178" fontId="22" fillId="5" borderId="5" xfId="0" applyNumberFormat="1" applyFont="1" applyFill="1" applyBorder="1" applyAlignment="1">
      <alignment horizontal="center"/>
    </xf>
    <xf numFmtId="164" fontId="22" fillId="5" borderId="0" xfId="0" applyNumberFormat="1" applyFont="1" applyFill="1" applyBorder="1" applyAlignment="1">
      <alignment horizontal="center"/>
    </xf>
    <xf numFmtId="173" fontId="22" fillId="5" borderId="6" xfId="4" applyNumberFormat="1" applyFont="1" applyFill="1" applyBorder="1" applyAlignment="1">
      <alignment horizontal="center"/>
    </xf>
    <xf numFmtId="3" fontId="23" fillId="4" borderId="0" xfId="0" applyNumberFormat="1" applyFont="1" applyFill="1" applyBorder="1" applyAlignment="1">
      <alignment horizontal="center"/>
    </xf>
    <xf numFmtId="178" fontId="24" fillId="3" borderId="5" xfId="0" applyNumberFormat="1" applyFont="1" applyFill="1" applyBorder="1" applyAlignment="1">
      <alignment horizontal="center"/>
    </xf>
    <xf numFmtId="178" fontId="24" fillId="3" borderId="0" xfId="0" applyNumberFormat="1" applyFont="1" applyFill="1" applyBorder="1" applyAlignment="1">
      <alignment horizontal="center"/>
    </xf>
    <xf numFmtId="173" fontId="24" fillId="3" borderId="6" xfId="4" applyNumberFormat="1" applyFont="1" applyFill="1" applyBorder="1" applyAlignment="1">
      <alignment horizontal="center"/>
    </xf>
    <xf numFmtId="178" fontId="21" fillId="3" borderId="0" xfId="0" applyNumberFormat="1" applyFont="1" applyFill="1" applyBorder="1" applyAlignment="1">
      <alignment horizontal="center"/>
    </xf>
    <xf numFmtId="178" fontId="22" fillId="5" borderId="0" xfId="0" applyNumberFormat="1" applyFont="1" applyFill="1" applyBorder="1" applyAlignment="1">
      <alignment horizontal="center"/>
    </xf>
    <xf numFmtId="178" fontId="21" fillId="3" borderId="7" xfId="0" applyNumberFormat="1" applyFont="1" applyFill="1" applyBorder="1" applyAlignment="1">
      <alignment horizontal="center"/>
    </xf>
    <xf numFmtId="178" fontId="21" fillId="5" borderId="2" xfId="0" applyNumberFormat="1" applyFont="1" applyFill="1" applyBorder="1" applyAlignment="1">
      <alignment horizontal="center"/>
    </xf>
    <xf numFmtId="178" fontId="25" fillId="3" borderId="7" xfId="0" applyNumberFormat="1" applyFont="1" applyFill="1" applyBorder="1" applyAlignment="1">
      <alignment horizontal="center"/>
    </xf>
    <xf numFmtId="173" fontId="18" fillId="5" borderId="2" xfId="4" applyNumberFormat="1" applyFont="1" applyFill="1" applyBorder="1" applyAlignment="1">
      <alignment horizontal="center"/>
    </xf>
    <xf numFmtId="178" fontId="22" fillId="5" borderId="7" xfId="0" applyNumberFormat="1" applyFont="1" applyFill="1" applyBorder="1" applyAlignment="1">
      <alignment horizontal="center"/>
    </xf>
    <xf numFmtId="178" fontId="22" fillId="2" borderId="2" xfId="0" applyNumberFormat="1" applyFont="1" applyFill="1" applyBorder="1" applyAlignment="1">
      <alignment horizontal="center"/>
    </xf>
    <xf numFmtId="178" fontId="26" fillId="5" borderId="7" xfId="0" applyNumberFormat="1" applyFont="1" applyFill="1" applyBorder="1" applyAlignment="1">
      <alignment horizontal="center"/>
    </xf>
    <xf numFmtId="173" fontId="18" fillId="2" borderId="2" xfId="4" applyNumberFormat="1" applyFont="1" applyFill="1" applyBorder="1" applyAlignment="1">
      <alignment horizontal="center"/>
    </xf>
    <xf numFmtId="173" fontId="27" fillId="5" borderId="2" xfId="4" applyNumberFormat="1" applyFont="1" applyFill="1" applyBorder="1" applyAlignment="1">
      <alignment horizontal="center"/>
    </xf>
    <xf numFmtId="178" fontId="22" fillId="2" borderId="2" xfId="4" applyNumberFormat="1" applyFont="1" applyFill="1" applyBorder="1" applyAlignment="1">
      <alignment horizontal="center"/>
    </xf>
    <xf numFmtId="173" fontId="27" fillId="2" borderId="2" xfId="4" applyNumberFormat="1" applyFont="1" applyFill="1" applyBorder="1" applyAlignment="1">
      <alignment horizontal="center"/>
    </xf>
    <xf numFmtId="0" fontId="21" fillId="3" borderId="8" xfId="0" applyFont="1" applyFill="1" applyBorder="1" applyAlignment="1">
      <alignment horizontal="center"/>
    </xf>
    <xf numFmtId="2" fontId="21" fillId="5" borderId="1" xfId="0" applyNumberFormat="1" applyFont="1" applyFill="1" applyBorder="1" applyAlignment="1">
      <alignment horizontal="center"/>
    </xf>
    <xf numFmtId="0" fontId="21" fillId="3" borderId="9" xfId="0" applyFont="1" applyFill="1" applyBorder="1" applyAlignment="1">
      <alignment horizontal="center"/>
    </xf>
    <xf numFmtId="2" fontId="21" fillId="5" borderId="2" xfId="0" applyNumberFormat="1" applyFont="1" applyFill="1" applyBorder="1" applyAlignment="1">
      <alignment horizontal="center"/>
    </xf>
    <xf numFmtId="2" fontId="22" fillId="5" borderId="8" xfId="0" applyNumberFormat="1" applyFont="1" applyFill="1" applyBorder="1" applyAlignment="1">
      <alignment horizontal="center"/>
    </xf>
    <xf numFmtId="2" fontId="22" fillId="2" borderId="2" xfId="0" applyNumberFormat="1" applyFont="1" applyFill="1" applyBorder="1" applyAlignment="1">
      <alignment horizontal="center"/>
    </xf>
    <xf numFmtId="2" fontId="22" fillId="5" borderId="9" xfId="0" applyNumberFormat="1" applyFont="1" applyFill="1" applyBorder="1" applyAlignment="1">
      <alignment horizontal="center"/>
    </xf>
    <xf numFmtId="2" fontId="22" fillId="2" borderId="1" xfId="0" applyNumberFormat="1" applyFont="1" applyFill="1" applyBorder="1" applyAlignment="1">
      <alignment horizontal="center"/>
    </xf>
    <xf numFmtId="0" fontId="10" fillId="0" borderId="0" xfId="0" applyFont="1"/>
    <xf numFmtId="0" fontId="29" fillId="0" borderId="0" xfId="0" applyFont="1" applyAlignment="1">
      <alignment horizontal="left" wrapText="1"/>
    </xf>
    <xf numFmtId="0" fontId="10" fillId="0" borderId="0" xfId="0" applyFont="1" applyAlignment="1">
      <alignment horizontal="left" wrapText="1"/>
    </xf>
    <xf numFmtId="0" fontId="32" fillId="0" borderId="0" xfId="0" applyFont="1"/>
    <xf numFmtId="0" fontId="33" fillId="0" borderId="0" xfId="0" applyFont="1"/>
    <xf numFmtId="0" fontId="21" fillId="0" borderId="0" xfId="0" applyFont="1" applyAlignment="1">
      <alignment horizontal="center"/>
    </xf>
    <xf numFmtId="0" fontId="35" fillId="0" borderId="0" xfId="0" applyFont="1" applyAlignment="1">
      <alignment horizontal="center"/>
    </xf>
    <xf numFmtId="165" fontId="21" fillId="0" borderId="0" xfId="0" applyNumberFormat="1" applyFont="1" applyAlignment="1">
      <alignment horizontal="center"/>
    </xf>
    <xf numFmtId="167" fontId="21" fillId="0" borderId="0" xfId="0" applyNumberFormat="1" applyFont="1" applyAlignment="1">
      <alignment horizontal="center"/>
    </xf>
    <xf numFmtId="200" fontId="21" fillId="5" borderId="7" xfId="2" applyNumberFormat="1" applyFont="1" applyFill="1" applyBorder="1" applyAlignment="1">
      <alignment horizontal="center"/>
    </xf>
    <xf numFmtId="0" fontId="21" fillId="5" borderId="15" xfId="0" applyFont="1" applyFill="1" applyBorder="1"/>
    <xf numFmtId="0" fontId="7" fillId="0" borderId="0" xfId="0" applyFont="1" applyAlignment="1">
      <alignment horizontal="center"/>
    </xf>
    <xf numFmtId="0" fontId="36" fillId="0" borderId="0" xfId="0" applyFont="1"/>
    <xf numFmtId="0" fontId="37" fillId="0" borderId="0" xfId="0" applyFont="1" applyAlignment="1">
      <alignment horizontal="center"/>
    </xf>
    <xf numFmtId="0" fontId="37" fillId="0" borderId="0" xfId="0" applyFont="1"/>
    <xf numFmtId="0" fontId="39" fillId="0" borderId="0" xfId="0" applyFont="1" applyAlignment="1">
      <alignment horizontal="center"/>
    </xf>
    <xf numFmtId="165" fontId="37" fillId="0" borderId="0" xfId="0" applyNumberFormat="1" applyFont="1" applyAlignment="1">
      <alignment horizontal="center"/>
    </xf>
    <xf numFmtId="167" fontId="37" fillId="0" borderId="0" xfId="0" applyNumberFormat="1" applyFont="1" applyAlignment="1">
      <alignment horizontal="center"/>
    </xf>
    <xf numFmtId="38" fontId="37" fillId="5" borderId="7" xfId="0" applyNumberFormat="1" applyFont="1" applyFill="1" applyBorder="1" applyAlignment="1">
      <alignment horizontal="center"/>
    </xf>
    <xf numFmtId="0" fontId="37" fillId="5" borderId="15" xfId="0" applyFont="1" applyFill="1" applyBorder="1"/>
    <xf numFmtId="0" fontId="40" fillId="0" borderId="0" xfId="0" applyFont="1"/>
    <xf numFmtId="0" fontId="15" fillId="0" borderId="0" xfId="0" applyFont="1"/>
    <xf numFmtId="165" fontId="15" fillId="0" borderId="0" xfId="0" applyNumberFormat="1" applyFont="1"/>
    <xf numFmtId="38" fontId="15" fillId="0" borderId="0" xfId="0" applyNumberFormat="1" applyFont="1"/>
    <xf numFmtId="9" fontId="15" fillId="0" borderId="0" xfId="0" applyNumberFormat="1" applyFont="1"/>
    <xf numFmtId="10" fontId="15" fillId="0" borderId="0" xfId="0" applyNumberFormat="1" applyFont="1" applyAlignment="1">
      <alignment horizontal="right"/>
    </xf>
    <xf numFmtId="0" fontId="7" fillId="8" borderId="4" xfId="0" applyFont="1" applyFill="1" applyBorder="1" applyAlignment="1">
      <alignment horizontal="center"/>
    </xf>
    <xf numFmtId="0" fontId="20" fillId="8" borderId="4" xfId="0" applyFont="1" applyFill="1" applyBorder="1" applyAlignment="1">
      <alignment horizontal="center"/>
    </xf>
    <xf numFmtId="0" fontId="21" fillId="3" borderId="13" xfId="0" applyFont="1" applyFill="1" applyBorder="1" applyAlignment="1">
      <alignment horizontal="center"/>
    </xf>
    <xf numFmtId="0" fontId="21" fillId="0" borderId="0" xfId="0" applyFont="1" applyFill="1" applyBorder="1" applyAlignment="1">
      <alignment horizontal="center"/>
    </xf>
    <xf numFmtId="0" fontId="7" fillId="8" borderId="3" xfId="0" applyFont="1" applyFill="1" applyBorder="1" applyAlignment="1">
      <alignment horizontal="center"/>
    </xf>
    <xf numFmtId="0" fontId="20" fillId="8" borderId="3" xfId="0" applyFont="1" applyFill="1" applyBorder="1" applyAlignment="1">
      <alignment horizontal="center"/>
    </xf>
    <xf numFmtId="0" fontId="21" fillId="3" borderId="0" xfId="0" applyFont="1" applyFill="1" applyBorder="1" applyAlignment="1">
      <alignment horizontal="center"/>
    </xf>
    <xf numFmtId="9" fontId="21" fillId="3" borderId="3" xfId="0" quotePrefix="1" applyNumberFormat="1" applyFont="1" applyFill="1" applyBorder="1" applyAlignment="1">
      <alignment horizontal="center"/>
    </xf>
    <xf numFmtId="0" fontId="7" fillId="8" borderId="1" xfId="0" quotePrefix="1" applyFont="1" applyFill="1" applyBorder="1" applyAlignment="1">
      <alignment horizontal="center"/>
    </xf>
    <xf numFmtId="0" fontId="20" fillId="8" borderId="1" xfId="0" quotePrefix="1" applyFont="1" applyFill="1" applyBorder="1" applyAlignment="1">
      <alignment horizontal="center"/>
    </xf>
    <xf numFmtId="0" fontId="21" fillId="3" borderId="9" xfId="0" quotePrefix="1" applyFont="1" applyFill="1" applyBorder="1" applyAlignment="1">
      <alignment horizontal="center"/>
    </xf>
    <xf numFmtId="0" fontId="21" fillId="3" borderId="1" xfId="0" quotePrefix="1" applyFont="1" applyFill="1" applyBorder="1" applyAlignment="1">
      <alignment horizontal="center"/>
    </xf>
    <xf numFmtId="9" fontId="21" fillId="3" borderId="1" xfId="0" quotePrefix="1" applyNumberFormat="1" applyFont="1" applyFill="1" applyBorder="1" applyAlignment="1">
      <alignment horizontal="center"/>
    </xf>
    <xf numFmtId="0" fontId="7" fillId="8" borderId="3" xfId="0" applyFont="1" applyFill="1" applyBorder="1"/>
    <xf numFmtId="164" fontId="21" fillId="3" borderId="4" xfId="0" applyNumberFormat="1" applyFont="1" applyFill="1" applyBorder="1" applyAlignment="1">
      <alignment horizontal="right"/>
    </xf>
    <xf numFmtId="164" fontId="21" fillId="3" borderId="0" xfId="0" applyNumberFormat="1" applyFont="1" applyFill="1" applyBorder="1" applyAlignment="1">
      <alignment horizontal="right"/>
    </xf>
    <xf numFmtId="164" fontId="21" fillId="3" borderId="3" xfId="0" applyNumberFormat="1" applyFont="1" applyFill="1" applyBorder="1" applyAlignment="1">
      <alignment horizontal="right"/>
    </xf>
    <xf numFmtId="173" fontId="21" fillId="3" borderId="4" xfId="4" applyNumberFormat="1" applyFont="1" applyFill="1" applyBorder="1" applyAlignment="1">
      <alignment horizontal="center"/>
    </xf>
    <xf numFmtId="166" fontId="21" fillId="0" borderId="0" xfId="0" applyNumberFormat="1" applyFont="1" applyFill="1" applyBorder="1" applyAlignment="1">
      <alignment horizontal="center"/>
    </xf>
    <xf numFmtId="37" fontId="21" fillId="3" borderId="3" xfId="0" applyNumberFormat="1" applyFont="1" applyFill="1" applyBorder="1" applyAlignment="1">
      <alignment horizontal="right"/>
    </xf>
    <xf numFmtId="173" fontId="21" fillId="3" borderId="3" xfId="4" applyNumberFormat="1" applyFont="1" applyFill="1" applyBorder="1" applyAlignment="1">
      <alignment horizontal="center"/>
    </xf>
    <xf numFmtId="0" fontId="7" fillId="8" borderId="1" xfId="0" applyFont="1" applyFill="1" applyBorder="1"/>
    <xf numFmtId="0" fontId="20" fillId="8" borderId="1" xfId="0" applyFont="1" applyFill="1" applyBorder="1" applyAlignment="1">
      <alignment horizontal="center"/>
    </xf>
    <xf numFmtId="37" fontId="21" fillId="3" borderId="1" xfId="0" applyNumberFormat="1" applyFont="1" applyFill="1" applyBorder="1" applyAlignment="1">
      <alignment horizontal="right"/>
    </xf>
    <xf numFmtId="173" fontId="21" fillId="3" borderId="1" xfId="4" applyNumberFormat="1" applyFont="1" applyFill="1" applyBorder="1" applyAlignment="1">
      <alignment horizontal="center"/>
    </xf>
    <xf numFmtId="164" fontId="21" fillId="3" borderId="2" xfId="0" applyNumberFormat="1" applyFont="1" applyFill="1" applyBorder="1" applyAlignment="1">
      <alignment horizontal="right"/>
    </xf>
    <xf numFmtId="173" fontId="21" fillId="5" borderId="2" xfId="4" applyNumberFormat="1" applyFont="1" applyFill="1" applyBorder="1" applyAlignment="1">
      <alignment horizontal="center"/>
    </xf>
    <xf numFmtId="184" fontId="21" fillId="0" borderId="0" xfId="4" applyNumberFormat="1" applyFont="1" applyFill="1" applyBorder="1" applyAlignment="1">
      <alignment horizontal="center"/>
    </xf>
    <xf numFmtId="10" fontId="7" fillId="0" borderId="0" xfId="4" applyNumberFormat="1" applyFont="1"/>
    <xf numFmtId="178" fontId="22" fillId="0" borderId="0" xfId="4" applyNumberFormat="1" applyFont="1" applyFill="1" applyBorder="1" applyAlignment="1">
      <alignment horizontal="center"/>
    </xf>
    <xf numFmtId="2" fontId="21" fillId="0" borderId="0" xfId="0" applyNumberFormat="1" applyFont="1" applyFill="1" applyBorder="1" applyAlignment="1">
      <alignment horizontal="center"/>
    </xf>
    <xf numFmtId="0" fontId="21" fillId="4" borderId="13" xfId="0" applyFont="1" applyFill="1" applyBorder="1" applyAlignment="1">
      <alignment horizontal="center"/>
    </xf>
    <xf numFmtId="0" fontId="21" fillId="4" borderId="4" xfId="0" applyFont="1" applyFill="1" applyBorder="1" applyAlignment="1">
      <alignment horizontal="center"/>
    </xf>
    <xf numFmtId="0" fontId="7" fillId="0" borderId="0" xfId="0" applyFont="1" applyFill="1" applyBorder="1"/>
    <xf numFmtId="0" fontId="21" fillId="4" borderId="0" xfId="0" applyFont="1" applyFill="1" applyBorder="1" applyAlignment="1">
      <alignment horizontal="center"/>
    </xf>
    <xf numFmtId="0" fontId="21" fillId="4" borderId="3" xfId="0" applyFont="1" applyFill="1" applyBorder="1" applyAlignment="1">
      <alignment horizontal="center"/>
    </xf>
    <xf numFmtId="9" fontId="21" fillId="4" borderId="3" xfId="0" quotePrefix="1" applyNumberFormat="1" applyFont="1" applyFill="1" applyBorder="1" applyAlignment="1">
      <alignment horizontal="center"/>
    </xf>
    <xf numFmtId="0" fontId="21" fillId="4" borderId="9" xfId="0" quotePrefix="1" applyFont="1" applyFill="1" applyBorder="1" applyAlignment="1">
      <alignment horizontal="center"/>
    </xf>
    <xf numFmtId="0" fontId="21" fillId="4" borderId="1" xfId="0" quotePrefix="1" applyFont="1" applyFill="1" applyBorder="1" applyAlignment="1">
      <alignment horizontal="center"/>
    </xf>
    <xf numFmtId="9" fontId="21" fillId="4" borderId="1" xfId="0" quotePrefix="1" applyNumberFormat="1" applyFont="1" applyFill="1" applyBorder="1" applyAlignment="1">
      <alignment horizontal="center"/>
    </xf>
    <xf numFmtId="0" fontId="7" fillId="8" borderId="5" xfId="0" applyFont="1" applyFill="1" applyBorder="1"/>
    <xf numFmtId="164" fontId="21" fillId="4" borderId="4" xfId="0" applyNumberFormat="1" applyFont="1" applyFill="1" applyBorder="1" applyAlignment="1">
      <alignment horizontal="right"/>
    </xf>
    <xf numFmtId="164" fontId="21" fillId="4" borderId="0" xfId="0" applyNumberFormat="1" applyFont="1" applyFill="1" applyBorder="1" applyAlignment="1">
      <alignment horizontal="right"/>
    </xf>
    <xf numFmtId="173" fontId="21" fillId="4" borderId="4" xfId="4" applyNumberFormat="1" applyFont="1" applyFill="1" applyBorder="1" applyAlignment="1">
      <alignment horizontal="center"/>
    </xf>
    <xf numFmtId="37" fontId="21" fillId="4" borderId="3" xfId="0" applyNumberFormat="1" applyFont="1" applyFill="1" applyBorder="1" applyAlignment="1">
      <alignment horizontal="right"/>
    </xf>
    <xf numFmtId="37" fontId="21" fillId="4" borderId="0" xfId="0" applyNumberFormat="1" applyFont="1" applyFill="1" applyBorder="1" applyAlignment="1">
      <alignment horizontal="right"/>
    </xf>
    <xf numFmtId="173" fontId="21" fillId="4" borderId="3" xfId="4" applyNumberFormat="1" applyFont="1" applyFill="1" applyBorder="1" applyAlignment="1">
      <alignment horizontal="center"/>
    </xf>
    <xf numFmtId="0" fontId="7" fillId="8" borderId="8" xfId="0" applyFont="1" applyFill="1" applyBorder="1"/>
    <xf numFmtId="37" fontId="21" fillId="4" borderId="1" xfId="0" applyNumberFormat="1" applyFont="1" applyFill="1" applyBorder="1" applyAlignment="1">
      <alignment horizontal="right"/>
    </xf>
    <xf numFmtId="37" fontId="21" fillId="4" borderId="9" xfId="0" applyNumberFormat="1" applyFont="1" applyFill="1" applyBorder="1" applyAlignment="1">
      <alignment horizontal="right"/>
    </xf>
    <xf numFmtId="173" fontId="21" fillId="4" borderId="1" xfId="4" applyNumberFormat="1" applyFont="1" applyFill="1" applyBorder="1" applyAlignment="1">
      <alignment horizontal="center"/>
    </xf>
    <xf numFmtId="178" fontId="21" fillId="4" borderId="2" xfId="0" applyNumberFormat="1" applyFont="1" applyFill="1" applyBorder="1" applyAlignment="1">
      <alignment horizontal="right"/>
    </xf>
    <xf numFmtId="173" fontId="7" fillId="0" borderId="0" xfId="0" applyNumberFormat="1" applyFont="1"/>
    <xf numFmtId="9" fontId="7" fillId="0" borderId="0" xfId="0" applyNumberFormat="1" applyFont="1"/>
    <xf numFmtId="184" fontId="7" fillId="0" borderId="0" xfId="0" applyNumberFormat="1" applyFont="1"/>
    <xf numFmtId="2" fontId="7" fillId="0" borderId="0" xfId="0" applyNumberFormat="1" applyFont="1"/>
    <xf numFmtId="0" fontId="12" fillId="0" borderId="0" xfId="1" applyFont="1" applyAlignment="1" applyProtection="1">
      <alignment horizontal="right"/>
    </xf>
    <xf numFmtId="0" fontId="42" fillId="0" borderId="0" xfId="0" applyFont="1" applyAlignment="1"/>
    <xf numFmtId="0" fontId="10" fillId="8" borderId="7" xfId="0" applyFont="1" applyFill="1" applyBorder="1" applyAlignment="1">
      <alignment horizontal="center"/>
    </xf>
    <xf numFmtId="0" fontId="10" fillId="8" borderId="16" xfId="0" applyFont="1" applyFill="1" applyBorder="1" applyAlignment="1">
      <alignment horizontal="center"/>
    </xf>
    <xf numFmtId="0" fontId="10" fillId="8" borderId="15" xfId="0" applyFont="1" applyFill="1" applyBorder="1" applyAlignment="1">
      <alignment horizontal="center"/>
    </xf>
    <xf numFmtId="0" fontId="43" fillId="2" borderId="10" xfId="0" applyFont="1" applyFill="1" applyBorder="1" applyAlignment="1">
      <alignment horizontal="center"/>
    </xf>
    <xf numFmtId="0" fontId="43" fillId="4" borderId="4" xfId="0" applyFont="1" applyFill="1" applyBorder="1" applyAlignment="1">
      <alignment horizontal="center"/>
    </xf>
    <xf numFmtId="0" fontId="43" fillId="0" borderId="0" xfId="0" applyFont="1" applyFill="1" applyBorder="1" applyAlignment="1">
      <alignment horizontal="center"/>
    </xf>
    <xf numFmtId="0" fontId="43" fillId="2" borderId="5" xfId="0" applyFont="1" applyFill="1" applyBorder="1" applyAlignment="1">
      <alignment horizontal="center"/>
    </xf>
    <xf numFmtId="0" fontId="43" fillId="4" borderId="3" xfId="0" applyFont="1" applyFill="1" applyBorder="1" applyAlignment="1">
      <alignment horizontal="center"/>
    </xf>
    <xf numFmtId="0" fontId="43" fillId="2" borderId="8" xfId="0" applyFont="1" applyFill="1" applyBorder="1" applyAlignment="1">
      <alignment horizontal="center"/>
    </xf>
    <xf numFmtId="0" fontId="7" fillId="4" borderId="1" xfId="0" applyFont="1" applyFill="1" applyBorder="1" applyAlignment="1">
      <alignment horizontal="center"/>
    </xf>
    <xf numFmtId="9" fontId="7" fillId="2" borderId="4" xfId="0" applyNumberFormat="1" applyFont="1" applyFill="1" applyBorder="1" applyAlignment="1">
      <alignment horizontal="center"/>
    </xf>
    <xf numFmtId="173" fontId="7" fillId="4" borderId="6" xfId="0" applyNumberFormat="1" applyFont="1" applyFill="1" applyBorder="1" applyAlignment="1">
      <alignment horizontal="right"/>
    </xf>
    <xf numFmtId="165" fontId="7" fillId="0" borderId="0" xfId="0" applyNumberFormat="1" applyFont="1" applyFill="1" applyBorder="1" applyAlignment="1">
      <alignment horizontal="right"/>
    </xf>
    <xf numFmtId="9" fontId="7" fillId="2" borderId="3" xfId="0" applyNumberFormat="1" applyFont="1" applyFill="1" applyBorder="1" applyAlignment="1">
      <alignment horizontal="center"/>
    </xf>
    <xf numFmtId="9" fontId="7" fillId="2" borderId="1" xfId="0" applyNumberFormat="1" applyFont="1" applyFill="1" applyBorder="1" applyAlignment="1">
      <alignment horizontal="center"/>
    </xf>
    <xf numFmtId="173" fontId="7" fillId="4" borderId="12" xfId="0" applyNumberFormat="1" applyFont="1" applyFill="1" applyBorder="1" applyAlignment="1">
      <alignment horizontal="right"/>
    </xf>
    <xf numFmtId="0" fontId="15" fillId="5" borderId="2" xfId="0" applyFont="1" applyFill="1" applyBorder="1" applyAlignment="1">
      <alignment horizontal="center"/>
    </xf>
    <xf numFmtId="9" fontId="15" fillId="0" borderId="0" xfId="0" applyNumberFormat="1" applyFont="1" applyAlignment="1">
      <alignment horizontal="center"/>
    </xf>
    <xf numFmtId="0" fontId="7" fillId="0" borderId="7" xfId="0" applyFont="1" applyBorder="1" applyAlignment="1">
      <alignment horizontal="center"/>
    </xf>
    <xf numFmtId="0" fontId="21" fillId="0" borderId="14" xfId="0" applyFont="1" applyBorder="1" applyAlignment="1">
      <alignment horizontal="center"/>
    </xf>
    <xf numFmtId="0" fontId="15" fillId="0" borderId="0" xfId="0" applyFont="1" applyFill="1" applyBorder="1" applyAlignment="1">
      <alignment horizontal="center"/>
    </xf>
    <xf numFmtId="9" fontId="7" fillId="0" borderId="4" xfId="4" applyFont="1" applyBorder="1" applyAlignment="1">
      <alignment horizontal="center"/>
    </xf>
    <xf numFmtId="2" fontId="7" fillId="0" borderId="4" xfId="0" applyNumberFormat="1" applyFont="1" applyBorder="1" applyAlignment="1">
      <alignment horizontal="center"/>
    </xf>
    <xf numFmtId="10" fontId="15" fillId="0" borderId="0" xfId="0" applyNumberFormat="1" applyFont="1" applyFill="1" applyBorder="1" applyAlignment="1">
      <alignment horizontal="center"/>
    </xf>
    <xf numFmtId="9" fontId="7" fillId="0" borderId="3" xfId="0" applyNumberFormat="1" applyFont="1" applyBorder="1" applyAlignment="1">
      <alignment horizontal="center"/>
    </xf>
    <xf numFmtId="2" fontId="7" fillId="0" borderId="3" xfId="0" applyNumberFormat="1" applyFont="1" applyBorder="1" applyAlignment="1">
      <alignment horizontal="center"/>
    </xf>
    <xf numFmtId="2" fontId="21" fillId="0" borderId="4" xfId="0" applyNumberFormat="1" applyFont="1" applyBorder="1" applyAlignment="1">
      <alignment horizontal="center"/>
    </xf>
    <xf numFmtId="2" fontId="21" fillId="0" borderId="3" xfId="0" applyNumberFormat="1" applyFont="1" applyBorder="1" applyAlignment="1">
      <alignment horizontal="center"/>
    </xf>
    <xf numFmtId="9" fontId="7" fillId="2" borderId="2" xfId="0" applyNumberFormat="1" applyFont="1" applyFill="1" applyBorder="1" applyAlignment="1">
      <alignment horizontal="center"/>
    </xf>
    <xf numFmtId="2" fontId="7" fillId="2" borderId="2" xfId="0" applyNumberFormat="1" applyFont="1" applyFill="1" applyBorder="1" applyAlignment="1">
      <alignment horizontal="center"/>
    </xf>
    <xf numFmtId="2" fontId="21" fillId="2" borderId="2" xfId="0" applyNumberFormat="1" applyFont="1" applyFill="1" applyBorder="1" applyAlignment="1">
      <alignment horizontal="center"/>
    </xf>
    <xf numFmtId="9" fontId="7" fillId="0" borderId="1" xfId="0" applyNumberFormat="1" applyFont="1" applyBorder="1" applyAlignment="1">
      <alignment horizontal="center"/>
    </xf>
    <xf numFmtId="2" fontId="7" fillId="0" borderId="1" xfId="0" applyNumberFormat="1" applyFont="1" applyBorder="1" applyAlignment="1">
      <alignment horizontal="center"/>
    </xf>
    <xf numFmtId="2" fontId="21" fillId="0" borderId="1" xfId="0" applyNumberFormat="1" applyFont="1" applyBorder="1" applyAlignment="1">
      <alignment horizontal="center"/>
    </xf>
    <xf numFmtId="0" fontId="14" fillId="8" borderId="4" xfId="0" applyFont="1" applyFill="1" applyBorder="1" applyAlignment="1">
      <alignment horizontal="center"/>
    </xf>
    <xf numFmtId="0" fontId="14" fillId="8" borderId="10" xfId="0" applyFont="1" applyFill="1" applyBorder="1" applyAlignment="1">
      <alignment horizontal="center"/>
    </xf>
    <xf numFmtId="0" fontId="7" fillId="0" borderId="4" xfId="0" applyFont="1" applyBorder="1"/>
    <xf numFmtId="0" fontId="14" fillId="8" borderId="11" xfId="0" applyFont="1" applyFill="1" applyBorder="1" applyAlignment="1">
      <alignment horizontal="center"/>
    </xf>
    <xf numFmtId="0" fontId="14" fillId="8" borderId="3" xfId="0" applyFont="1" applyFill="1" applyBorder="1" applyAlignment="1">
      <alignment horizontal="center"/>
    </xf>
    <xf numFmtId="0" fontId="14" fillId="8" borderId="5" xfId="0" applyFont="1" applyFill="1" applyBorder="1" applyAlignment="1">
      <alignment horizontal="center"/>
    </xf>
    <xf numFmtId="0" fontId="14" fillId="8" borderId="6" xfId="0" applyFont="1" applyFill="1" applyBorder="1" applyAlignment="1">
      <alignment horizontal="center"/>
    </xf>
    <xf numFmtId="0" fontId="14" fillId="8" borderId="1" xfId="0" quotePrefix="1" applyFont="1" applyFill="1" applyBorder="1" applyAlignment="1">
      <alignment horizontal="center"/>
    </xf>
    <xf numFmtId="0" fontId="14" fillId="8" borderId="8" xfId="0" quotePrefix="1" applyFont="1" applyFill="1" applyBorder="1" applyAlignment="1">
      <alignment horizontal="center"/>
    </xf>
    <xf numFmtId="0" fontId="14" fillId="8" borderId="12" xfId="0" quotePrefix="1" applyFont="1" applyFill="1" applyBorder="1" applyAlignment="1">
      <alignment horizontal="center"/>
    </xf>
    <xf numFmtId="9" fontId="21" fillId="8" borderId="5" xfId="0" applyNumberFormat="1" applyFont="1" applyFill="1" applyBorder="1" applyAlignment="1">
      <alignment horizontal="center"/>
    </xf>
    <xf numFmtId="10" fontId="21" fillId="8" borderId="10" xfId="4" applyNumberFormat="1" applyFont="1" applyFill="1" applyBorder="1" applyAlignment="1">
      <alignment horizontal="center"/>
    </xf>
    <xf numFmtId="10" fontId="21" fillId="8" borderId="4" xfId="4" applyNumberFormat="1" applyFont="1" applyFill="1" applyBorder="1" applyAlignment="1">
      <alignment horizontal="center"/>
    </xf>
    <xf numFmtId="2" fontId="21" fillId="8" borderId="0" xfId="0" applyNumberFormat="1" applyFont="1" applyFill="1" applyBorder="1" applyAlignment="1">
      <alignment horizontal="center"/>
    </xf>
    <xf numFmtId="173" fontId="21" fillId="8" borderId="4" xfId="4" applyNumberFormat="1" applyFont="1" applyFill="1" applyBorder="1" applyAlignment="1">
      <alignment horizontal="center"/>
    </xf>
    <xf numFmtId="10" fontId="21" fillId="8" borderId="4" xfId="0" applyNumberFormat="1" applyFont="1" applyFill="1" applyBorder="1" applyAlignment="1">
      <alignment horizontal="center"/>
    </xf>
    <xf numFmtId="178" fontId="21" fillId="8" borderId="4" xfId="2" applyNumberFormat="1" applyFont="1" applyFill="1" applyBorder="1" applyAlignment="1">
      <alignment horizontal="center"/>
    </xf>
    <xf numFmtId="10" fontId="21" fillId="8" borderId="5" xfId="4" applyNumberFormat="1" applyFont="1" applyFill="1" applyBorder="1" applyAlignment="1">
      <alignment horizontal="center"/>
    </xf>
    <xf numFmtId="10" fontId="21" fillId="8" borderId="3" xfId="4" applyNumberFormat="1" applyFont="1" applyFill="1" applyBorder="1" applyAlignment="1">
      <alignment horizontal="center"/>
    </xf>
    <xf numFmtId="173" fontId="21" fillId="8" borderId="3" xfId="4" applyNumberFormat="1" applyFont="1" applyFill="1" applyBorder="1" applyAlignment="1">
      <alignment horizontal="center"/>
    </xf>
    <xf numFmtId="10" fontId="21" fillId="8" borderId="3" xfId="0" applyNumberFormat="1" applyFont="1" applyFill="1" applyBorder="1" applyAlignment="1">
      <alignment horizontal="center"/>
    </xf>
    <xf numFmtId="178" fontId="21" fillId="8" borderId="3" xfId="2" applyNumberFormat="1" applyFont="1" applyFill="1" applyBorder="1" applyAlignment="1">
      <alignment horizontal="center"/>
    </xf>
    <xf numFmtId="0" fontId="7" fillId="0" borderId="0" xfId="0" applyFont="1" applyBorder="1" applyAlignment="1">
      <alignment horizontal="center"/>
    </xf>
    <xf numFmtId="9" fontId="21" fillId="5" borderId="7" xfId="0" applyNumberFormat="1" applyFont="1" applyFill="1" applyBorder="1" applyAlignment="1">
      <alignment horizontal="center"/>
    </xf>
    <xf numFmtId="10" fontId="21" fillId="5" borderId="7" xfId="4" applyNumberFormat="1" applyFont="1" applyFill="1" applyBorder="1" applyAlignment="1">
      <alignment horizontal="center"/>
    </xf>
    <xf numFmtId="10" fontId="21" fillId="5" borderId="2" xfId="4" applyNumberFormat="1" applyFont="1" applyFill="1" applyBorder="1" applyAlignment="1">
      <alignment horizontal="center"/>
    </xf>
    <xf numFmtId="2" fontId="21" fillId="5" borderId="16" xfId="0" applyNumberFormat="1" applyFont="1" applyFill="1" applyBorder="1" applyAlignment="1">
      <alignment horizontal="center"/>
    </xf>
    <xf numFmtId="10" fontId="21" fillId="5" borderId="2" xfId="0" applyNumberFormat="1" applyFont="1" applyFill="1" applyBorder="1" applyAlignment="1">
      <alignment horizontal="center"/>
    </xf>
    <xf numFmtId="178" fontId="21" fillId="5" borderId="2" xfId="2" applyNumberFormat="1" applyFont="1" applyFill="1" applyBorder="1" applyAlignment="1">
      <alignment horizontal="center"/>
    </xf>
    <xf numFmtId="9" fontId="21" fillId="8" borderId="8" xfId="0" applyNumberFormat="1" applyFont="1" applyFill="1" applyBorder="1" applyAlignment="1">
      <alignment horizontal="center"/>
    </xf>
    <xf numFmtId="10" fontId="21" fillId="8" borderId="8" xfId="4" applyNumberFormat="1" applyFont="1" applyFill="1" applyBorder="1" applyAlignment="1">
      <alignment horizontal="center"/>
    </xf>
    <xf numFmtId="10" fontId="21" fillId="8" borderId="1" xfId="4" applyNumberFormat="1" applyFont="1" applyFill="1" applyBorder="1" applyAlignment="1">
      <alignment horizontal="center"/>
    </xf>
    <xf numFmtId="2" fontId="21" fillId="8" borderId="9" xfId="0" applyNumberFormat="1" applyFont="1" applyFill="1" applyBorder="1" applyAlignment="1">
      <alignment horizontal="center"/>
    </xf>
    <xf numFmtId="173" fontId="21" fillId="8" borderId="1" xfId="4" applyNumberFormat="1" applyFont="1" applyFill="1" applyBorder="1" applyAlignment="1">
      <alignment horizontal="center"/>
    </xf>
    <xf numFmtId="10" fontId="21" fillId="8" borderId="1" xfId="0" applyNumberFormat="1" applyFont="1" applyFill="1" applyBorder="1" applyAlignment="1">
      <alignment horizontal="center"/>
    </xf>
    <xf numFmtId="178" fontId="21" fillId="8" borderId="1" xfId="2" applyNumberFormat="1" applyFont="1" applyFill="1" applyBorder="1" applyAlignment="1">
      <alignment horizontal="center"/>
    </xf>
    <xf numFmtId="0" fontId="48" fillId="0" borderId="0" xfId="0" applyFont="1"/>
    <xf numFmtId="0" fontId="49" fillId="0" borderId="0" xfId="0" applyFont="1"/>
    <xf numFmtId="0" fontId="42" fillId="0" borderId="0" xfId="0" applyFont="1"/>
    <xf numFmtId="0" fontId="49" fillId="0" borderId="0" xfId="0" applyFont="1" applyAlignment="1">
      <alignment horizontal="left" wrapText="1"/>
    </xf>
    <xf numFmtId="0" fontId="48" fillId="0" borderId="0" xfId="0" applyFont="1" applyAlignment="1">
      <alignment horizontal="right"/>
    </xf>
    <xf numFmtId="0" fontId="48" fillId="0" borderId="0" xfId="0" applyFont="1" applyAlignment="1">
      <alignment horizontal="left"/>
    </xf>
    <xf numFmtId="0" fontId="10" fillId="0" borderId="0" xfId="0" applyFont="1" applyFill="1" applyBorder="1" applyAlignment="1">
      <alignment horizontal="left"/>
    </xf>
    <xf numFmtId="0" fontId="7" fillId="0" borderId="0" xfId="0" applyFont="1" applyFill="1" applyBorder="1" applyAlignment="1">
      <alignment horizontal="center"/>
    </xf>
    <xf numFmtId="0" fontId="10" fillId="0" borderId="0" xfId="0" applyFont="1" applyFill="1" applyBorder="1"/>
    <xf numFmtId="0" fontId="14" fillId="0" borderId="0" xfId="0" applyFont="1" applyFill="1" applyBorder="1"/>
    <xf numFmtId="0" fontId="51" fillId="0" borderId="0" xfId="0" applyFont="1" applyFill="1" applyBorder="1"/>
    <xf numFmtId="9" fontId="51" fillId="0" borderId="0" xfId="0" applyNumberFormat="1" applyFont="1" applyFill="1" applyBorder="1"/>
    <xf numFmtId="0" fontId="13" fillId="0" borderId="0" xfId="0" applyFont="1" applyAlignment="1">
      <alignment horizontal="left"/>
    </xf>
    <xf numFmtId="0" fontId="18" fillId="0" borderId="0" xfId="0" applyFont="1" applyFill="1" applyBorder="1" applyAlignment="1">
      <alignment horizontal="center"/>
    </xf>
    <xf numFmtId="9" fontId="7" fillId="0" borderId="0" xfId="0" applyNumberFormat="1" applyFont="1" applyFill="1" applyBorder="1" applyAlignment="1">
      <alignment horizontal="center"/>
    </xf>
    <xf numFmtId="2" fontId="7" fillId="0" borderId="0" xfId="0" applyNumberFormat="1" applyFont="1" applyFill="1" applyBorder="1" applyAlignment="1">
      <alignment horizontal="center"/>
    </xf>
    <xf numFmtId="0" fontId="10" fillId="0" borderId="0" xfId="0" applyFont="1" applyFill="1" applyBorder="1" applyAlignment="1"/>
    <xf numFmtId="0" fontId="7" fillId="0" borderId="0" xfId="0" applyFont="1" applyFill="1" applyBorder="1" applyAlignment="1"/>
    <xf numFmtId="0" fontId="10" fillId="0" borderId="0" xfId="0" applyFont="1" applyFill="1" applyBorder="1" applyAlignment="1">
      <alignment horizontal="left" wrapText="1"/>
    </xf>
    <xf numFmtId="0" fontId="52" fillId="0" borderId="0" xfId="0" applyFont="1"/>
    <xf numFmtId="16" fontId="7" fillId="0" borderId="0" xfId="0" applyNumberFormat="1" applyFont="1" applyAlignment="1">
      <alignment horizontal="center"/>
    </xf>
    <xf numFmtId="0" fontId="7" fillId="0" borderId="4" xfId="0" applyFont="1" applyBorder="1" applyAlignment="1">
      <alignment horizontal="center"/>
    </xf>
    <xf numFmtId="0" fontId="52" fillId="0" borderId="0" xfId="0" applyFont="1" applyFill="1" applyBorder="1"/>
    <xf numFmtId="0" fontId="7" fillId="0" borderId="3" xfId="0" applyFont="1" applyBorder="1" applyAlignment="1">
      <alignment horizontal="center"/>
    </xf>
    <xf numFmtId="0" fontId="7" fillId="0" borderId="1" xfId="0" quotePrefix="1" applyFont="1" applyBorder="1" applyAlignment="1">
      <alignment horizontal="center"/>
    </xf>
    <xf numFmtId="0" fontId="53" fillId="0" borderId="0" xfId="0" quotePrefix="1" applyFont="1" applyFill="1" applyBorder="1" applyAlignment="1">
      <alignment horizontal="center"/>
    </xf>
    <xf numFmtId="0" fontId="53" fillId="0" borderId="0" xfId="0" applyFont="1" applyFill="1" applyBorder="1" applyAlignment="1">
      <alignment horizontal="center"/>
    </xf>
    <xf numFmtId="0" fontId="54" fillId="0" borderId="0" xfId="0" applyFont="1" applyAlignment="1">
      <alignment wrapText="1"/>
    </xf>
    <xf numFmtId="9" fontId="7" fillId="0" borderId="4" xfId="0" applyNumberFormat="1" applyFont="1" applyBorder="1" applyAlignment="1">
      <alignment horizontal="center"/>
    </xf>
    <xf numFmtId="178" fontId="7" fillId="8" borderId="4" xfId="2" applyNumberFormat="1" applyFont="1" applyFill="1" applyBorder="1" applyAlignment="1">
      <alignment horizontal="right"/>
    </xf>
    <xf numFmtId="178" fontId="21" fillId="8" borderId="4" xfId="0" applyNumberFormat="1" applyFont="1" applyFill="1" applyBorder="1" applyAlignment="1">
      <alignment horizontal="right"/>
    </xf>
    <xf numFmtId="184" fontId="21" fillId="8" borderId="4" xfId="0" applyNumberFormat="1" applyFont="1" applyFill="1" applyBorder="1" applyAlignment="1">
      <alignment horizontal="right"/>
    </xf>
    <xf numFmtId="173" fontId="21" fillId="0" borderId="0" xfId="4" applyNumberFormat="1" applyFont="1" applyFill="1" applyBorder="1" applyAlignment="1">
      <alignment horizontal="center"/>
    </xf>
    <xf numFmtId="178" fontId="21" fillId="0" borderId="0" xfId="0" applyNumberFormat="1" applyFont="1" applyFill="1" applyBorder="1" applyAlignment="1">
      <alignment horizontal="center"/>
    </xf>
    <xf numFmtId="197" fontId="21" fillId="0" borderId="0" xfId="4" applyNumberFormat="1" applyFont="1" applyFill="1" applyBorder="1" applyAlignment="1">
      <alignment horizontal="center"/>
    </xf>
    <xf numFmtId="3" fontId="7" fillId="8" borderId="3" xfId="2" applyNumberFormat="1" applyFont="1" applyFill="1" applyBorder="1" applyAlignment="1">
      <alignment horizontal="right"/>
    </xf>
    <xf numFmtId="3" fontId="21" fillId="8" borderId="3" xfId="2" applyNumberFormat="1" applyFont="1" applyFill="1" applyBorder="1" applyAlignment="1">
      <alignment horizontal="right"/>
    </xf>
    <xf numFmtId="184" fontId="21" fillId="8" borderId="3" xfId="2" applyNumberFormat="1" applyFont="1" applyFill="1" applyBorder="1" applyAlignment="1">
      <alignment horizontal="right"/>
    </xf>
    <xf numFmtId="3" fontId="21" fillId="0" borderId="0" xfId="2" applyNumberFormat="1" applyFont="1" applyFill="1" applyBorder="1" applyAlignment="1">
      <alignment horizontal="center"/>
    </xf>
    <xf numFmtId="9" fontId="7" fillId="5" borderId="2" xfId="0" applyNumberFormat="1" applyFont="1" applyFill="1" applyBorder="1" applyAlignment="1">
      <alignment horizontal="center"/>
    </xf>
    <xf numFmtId="3" fontId="7" fillId="5" borderId="2" xfId="2" applyNumberFormat="1" applyFont="1" applyFill="1" applyBorder="1" applyAlignment="1">
      <alignment horizontal="right"/>
    </xf>
    <xf numFmtId="3" fontId="21" fillId="5" borderId="2" xfId="2" applyNumberFormat="1" applyFont="1" applyFill="1" applyBorder="1" applyAlignment="1">
      <alignment horizontal="right"/>
    </xf>
    <xf numFmtId="184" fontId="21" fillId="5" borderId="2" xfId="2" applyNumberFormat="1" applyFont="1" applyFill="1" applyBorder="1" applyAlignment="1">
      <alignment horizontal="right"/>
    </xf>
    <xf numFmtId="3" fontId="7" fillId="8" borderId="1" xfId="2" applyNumberFormat="1" applyFont="1" applyFill="1" applyBorder="1" applyAlignment="1">
      <alignment horizontal="right"/>
    </xf>
    <xf numFmtId="3" fontId="21" fillId="8" borderId="1" xfId="2" applyNumberFormat="1" applyFont="1" applyFill="1" applyBorder="1" applyAlignment="1">
      <alignment horizontal="right"/>
    </xf>
    <xf numFmtId="184" fontId="21" fillId="8" borderId="1" xfId="2" applyNumberFormat="1" applyFont="1" applyFill="1" applyBorder="1" applyAlignment="1">
      <alignment horizontal="right"/>
    </xf>
    <xf numFmtId="0" fontId="10" fillId="0" borderId="0" xfId="0" quotePrefix="1" applyFont="1" applyFill="1" applyAlignment="1">
      <alignment horizontal="left" vertical="center" wrapText="1"/>
    </xf>
    <xf numFmtId="0" fontId="10" fillId="0" borderId="0" xfId="0" applyFont="1" applyFill="1"/>
    <xf numFmtId="0" fontId="55" fillId="0" borderId="0" xfId="0" applyFont="1"/>
    <xf numFmtId="0" fontId="29" fillId="0" borderId="0" xfId="0" applyFont="1"/>
    <xf numFmtId="0" fontId="15" fillId="3" borderId="4" xfId="0" applyFont="1" applyFill="1" applyBorder="1"/>
    <xf numFmtId="0" fontId="7" fillId="5" borderId="4" xfId="0" applyFont="1" applyFill="1" applyBorder="1" applyAlignment="1">
      <alignment horizontal="center"/>
    </xf>
    <xf numFmtId="0" fontId="7" fillId="3" borderId="20" xfId="0" applyFont="1" applyFill="1" applyBorder="1"/>
    <xf numFmtId="0" fontId="7" fillId="5" borderId="3" xfId="0" applyFont="1" applyFill="1" applyBorder="1" applyAlignment="1">
      <alignment horizontal="center"/>
    </xf>
    <xf numFmtId="0" fontId="7" fillId="3" borderId="4" xfId="0" applyFont="1" applyFill="1" applyBorder="1"/>
    <xf numFmtId="165" fontId="15" fillId="5" borderId="4" xfId="0" applyNumberFormat="1" applyFont="1" applyFill="1" applyBorder="1"/>
    <xf numFmtId="0" fontId="7" fillId="3" borderId="3" xfId="0" applyFont="1" applyFill="1" applyBorder="1"/>
    <xf numFmtId="165" fontId="15" fillId="5" borderId="3" xfId="0" applyNumberFormat="1" applyFont="1" applyFill="1" applyBorder="1"/>
    <xf numFmtId="0" fontId="31" fillId="3" borderId="3" xfId="0" applyFont="1" applyFill="1" applyBorder="1"/>
    <xf numFmtId="9" fontId="15" fillId="5" borderId="3" xfId="4" applyFont="1" applyFill="1" applyBorder="1" applyAlignment="1">
      <alignment horizontal="right"/>
    </xf>
    <xf numFmtId="173" fontId="15" fillId="5" borderId="3" xfId="0" applyNumberFormat="1" applyFont="1" applyFill="1" applyBorder="1"/>
    <xf numFmtId="9" fontId="15" fillId="5" borderId="3" xfId="0" applyNumberFormat="1" applyFont="1" applyFill="1" applyBorder="1"/>
    <xf numFmtId="9" fontId="15" fillId="5" borderId="3" xfId="0" applyNumberFormat="1" applyFont="1" applyFill="1" applyBorder="1" applyAlignment="1">
      <alignment horizontal="right"/>
    </xf>
    <xf numFmtId="0" fontId="7" fillId="5" borderId="3" xfId="0" applyFont="1" applyFill="1" applyBorder="1"/>
    <xf numFmtId="0" fontId="7" fillId="2" borderId="4" xfId="0" applyFont="1" applyFill="1" applyBorder="1"/>
    <xf numFmtId="0" fontId="7" fillId="2" borderId="1" xfId="0" applyFont="1" applyFill="1" applyBorder="1"/>
    <xf numFmtId="165" fontId="15" fillId="2" borderId="1" xfId="0" applyNumberFormat="1" applyFont="1" applyFill="1" applyBorder="1"/>
    <xf numFmtId="0" fontId="7" fillId="4" borderId="3" xfId="0" applyFont="1" applyFill="1" applyBorder="1"/>
    <xf numFmtId="165" fontId="15" fillId="4" borderId="3" xfId="0" applyNumberFormat="1" applyFont="1" applyFill="1" applyBorder="1"/>
    <xf numFmtId="0" fontId="7" fillId="4" borderId="1" xfId="0" applyFont="1" applyFill="1" applyBorder="1"/>
    <xf numFmtId="165" fontId="15" fillId="4" borderId="1" xfId="0" applyNumberFormat="1" applyFont="1" applyFill="1" applyBorder="1" applyAlignment="1">
      <alignment horizontal="right"/>
    </xf>
    <xf numFmtId="165" fontId="15" fillId="4" borderId="1" xfId="0" applyNumberFormat="1" applyFont="1" applyFill="1" applyBorder="1"/>
    <xf numFmtId="0" fontId="7" fillId="8" borderId="4" xfId="0" applyFont="1" applyFill="1" applyBorder="1"/>
    <xf numFmtId="0" fontId="7" fillId="8" borderId="1" xfId="0" applyFont="1" applyFill="1" applyBorder="1" applyAlignment="1">
      <alignment horizontal="center"/>
    </xf>
    <xf numFmtId="0" fontId="7" fillId="4" borderId="10" xfId="0" applyFont="1" applyFill="1" applyBorder="1"/>
    <xf numFmtId="165" fontId="7" fillId="3" borderId="4" xfId="0" applyNumberFormat="1" applyFont="1" applyFill="1" applyBorder="1"/>
    <xf numFmtId="165" fontId="7" fillId="3" borderId="10" xfId="0" applyNumberFormat="1" applyFont="1" applyFill="1" applyBorder="1"/>
    <xf numFmtId="165" fontId="7" fillId="2" borderId="11" xfId="0" applyNumberFormat="1" applyFont="1" applyFill="1" applyBorder="1"/>
    <xf numFmtId="0" fontId="7" fillId="4" borderId="8" xfId="0" applyFont="1" applyFill="1" applyBorder="1"/>
    <xf numFmtId="165" fontId="7" fillId="3" borderId="1" xfId="0" applyNumberFormat="1" applyFont="1" applyFill="1" applyBorder="1"/>
    <xf numFmtId="165" fontId="7" fillId="3" borderId="8" xfId="0" applyNumberFormat="1" applyFont="1" applyFill="1" applyBorder="1"/>
    <xf numFmtId="165" fontId="7" fillId="2" borderId="12" xfId="0" applyNumberFormat="1" applyFont="1" applyFill="1" applyBorder="1"/>
    <xf numFmtId="0" fontId="10" fillId="0" borderId="0" xfId="0" quotePrefix="1" applyFont="1" applyAlignment="1">
      <alignment horizontal="left"/>
    </xf>
    <xf numFmtId="0" fontId="7" fillId="5" borderId="11" xfId="0" applyFont="1" applyFill="1" applyBorder="1" applyAlignment="1">
      <alignment horizontal="center"/>
    </xf>
    <xf numFmtId="0" fontId="15" fillId="3" borderId="1" xfId="0" applyFont="1" applyFill="1" applyBorder="1"/>
    <xf numFmtId="0" fontId="7" fillId="5" borderId="6" xfId="0" applyFont="1" applyFill="1" applyBorder="1" applyAlignment="1">
      <alignment horizontal="center"/>
    </xf>
    <xf numFmtId="0" fontId="7" fillId="3" borderId="3" xfId="0" quotePrefix="1" applyFont="1" applyFill="1" applyBorder="1" applyAlignment="1">
      <alignment horizontal="left"/>
    </xf>
    <xf numFmtId="10" fontId="15" fillId="5" borderId="3" xfId="0" applyNumberFormat="1" applyFont="1" applyFill="1" applyBorder="1"/>
    <xf numFmtId="10" fontId="15" fillId="5" borderId="3" xfId="0" applyNumberFormat="1" applyFont="1" applyFill="1" applyBorder="1" applyAlignment="1">
      <alignment horizontal="right"/>
    </xf>
    <xf numFmtId="0" fontId="43" fillId="0" borderId="0" xfId="0" quotePrefix="1" applyFont="1" applyAlignment="1">
      <alignment horizontal="left"/>
    </xf>
    <xf numFmtId="0" fontId="43" fillId="0" borderId="0" xfId="0" applyFont="1"/>
    <xf numFmtId="9" fontId="15" fillId="5" borderId="3" xfId="4" applyFont="1" applyFill="1" applyBorder="1"/>
    <xf numFmtId="0" fontId="7" fillId="6" borderId="1" xfId="0" applyFont="1" applyFill="1" applyBorder="1"/>
    <xf numFmtId="10" fontId="15" fillId="6" borderId="1" xfId="4" applyNumberFormat="1" applyFont="1" applyFill="1" applyBorder="1"/>
    <xf numFmtId="10" fontId="15" fillId="0" borderId="0" xfId="4" applyNumberFormat="1" applyFont="1" applyFill="1" applyBorder="1"/>
    <xf numFmtId="0" fontId="7" fillId="2" borderId="7" xfId="0" applyFont="1" applyFill="1" applyBorder="1"/>
    <xf numFmtId="10" fontId="15" fillId="2" borderId="16" xfId="4" applyNumberFormat="1" applyFont="1" applyFill="1" applyBorder="1"/>
    <xf numFmtId="0" fontId="21" fillId="2" borderId="16" xfId="0" applyFont="1" applyFill="1" applyBorder="1"/>
    <xf numFmtId="0" fontId="7" fillId="2" borderId="15" xfId="0" applyFont="1" applyFill="1" applyBorder="1"/>
    <xf numFmtId="0" fontId="15" fillId="5" borderId="2" xfId="0" applyFont="1" applyFill="1" applyBorder="1" applyAlignment="1">
      <alignment horizontal="right"/>
    </xf>
    <xf numFmtId="10" fontId="15" fillId="3" borderId="2" xfId="4" applyNumberFormat="1" applyFont="1" applyFill="1" applyBorder="1" applyAlignment="1">
      <alignment horizontal="right"/>
    </xf>
    <xf numFmtId="10" fontId="58" fillId="6" borderId="2" xfId="4" applyNumberFormat="1" applyFont="1" applyFill="1" applyBorder="1" applyAlignment="1">
      <alignment horizontal="right"/>
    </xf>
    <xf numFmtId="0" fontId="58" fillId="6" borderId="2" xfId="0" applyFont="1" applyFill="1" applyBorder="1" applyAlignment="1">
      <alignment horizontal="right"/>
    </xf>
    <xf numFmtId="0" fontId="15" fillId="6" borderId="2" xfId="0" applyFont="1" applyFill="1" applyBorder="1" applyAlignment="1">
      <alignment horizontal="right"/>
    </xf>
    <xf numFmtId="0" fontId="7" fillId="5" borderId="4" xfId="0" applyFont="1" applyFill="1" applyBorder="1"/>
    <xf numFmtId="184" fontId="43" fillId="3" borderId="4" xfId="3" applyNumberFormat="1" applyFont="1" applyFill="1" applyBorder="1"/>
    <xf numFmtId="184" fontId="43" fillId="3" borderId="4" xfId="4" applyNumberFormat="1" applyFont="1" applyFill="1" applyBorder="1"/>
    <xf numFmtId="10" fontId="43" fillId="3" borderId="4" xfId="4" applyNumberFormat="1" applyFont="1" applyFill="1" applyBorder="1"/>
    <xf numFmtId="10" fontId="43" fillId="6" borderId="4" xfId="4" applyNumberFormat="1" applyFont="1" applyFill="1" applyBorder="1"/>
    <xf numFmtId="10" fontId="43" fillId="6" borderId="4" xfId="0" applyNumberFormat="1" applyFont="1" applyFill="1" applyBorder="1"/>
    <xf numFmtId="184" fontId="43" fillId="3" borderId="3" xfId="4" applyNumberFormat="1" applyFont="1" applyFill="1" applyBorder="1"/>
    <xf numFmtId="10" fontId="43" fillId="3" borderId="3" xfId="4" applyNumberFormat="1" applyFont="1" applyFill="1" applyBorder="1"/>
    <xf numFmtId="10" fontId="43" fillId="6" borderId="3" xfId="4" applyNumberFormat="1" applyFont="1" applyFill="1" applyBorder="1"/>
    <xf numFmtId="10" fontId="43" fillId="6" borderId="3" xfId="0" applyNumberFormat="1" applyFont="1" applyFill="1" applyBorder="1"/>
    <xf numFmtId="0" fontId="7" fillId="5" borderId="1" xfId="0" applyFont="1" applyFill="1" applyBorder="1"/>
    <xf numFmtId="184" fontId="43" fillId="3" borderId="1" xfId="4" applyNumberFormat="1" applyFont="1" applyFill="1" applyBorder="1"/>
    <xf numFmtId="10" fontId="43" fillId="3" borderId="1" xfId="4" applyNumberFormat="1" applyFont="1" applyFill="1" applyBorder="1"/>
    <xf numFmtId="10" fontId="43" fillId="6" borderId="1" xfId="4" applyNumberFormat="1" applyFont="1" applyFill="1" applyBorder="1"/>
    <xf numFmtId="10" fontId="43" fillId="6" borderId="1" xfId="0" applyNumberFormat="1" applyFont="1" applyFill="1" applyBorder="1"/>
    <xf numFmtId="0" fontId="7" fillId="2" borderId="10" xfId="0" applyFont="1" applyFill="1" applyBorder="1"/>
    <xf numFmtId="10" fontId="15" fillId="2" borderId="13" xfId="4" applyNumberFormat="1" applyFont="1" applyFill="1" applyBorder="1"/>
    <xf numFmtId="0" fontId="21" fillId="2" borderId="13" xfId="0" applyFont="1" applyFill="1" applyBorder="1"/>
    <xf numFmtId="0" fontId="7" fillId="2" borderId="11" xfId="0" applyFont="1" applyFill="1" applyBorder="1"/>
    <xf numFmtId="0" fontId="7" fillId="2" borderId="8" xfId="0" applyFont="1" applyFill="1" applyBorder="1"/>
    <xf numFmtId="10" fontId="15" fillId="2" borderId="9" xfId="4" applyNumberFormat="1" applyFont="1" applyFill="1" applyBorder="1"/>
    <xf numFmtId="0" fontId="21" fillId="2" borderId="9" xfId="0" applyFont="1" applyFill="1" applyBorder="1"/>
    <xf numFmtId="0" fontId="7" fillId="2" borderId="12" xfId="0" applyFont="1" applyFill="1" applyBorder="1"/>
    <xf numFmtId="0" fontId="7" fillId="5" borderId="2" xfId="0" applyFont="1" applyFill="1" applyBorder="1" applyAlignment="1">
      <alignment horizontal="right"/>
    </xf>
    <xf numFmtId="10" fontId="15" fillId="6" borderId="2" xfId="4" applyNumberFormat="1" applyFont="1" applyFill="1" applyBorder="1" applyAlignment="1">
      <alignment horizontal="right"/>
    </xf>
    <xf numFmtId="0" fontId="15" fillId="6" borderId="4" xfId="0" applyFont="1" applyFill="1" applyBorder="1" applyAlignment="1">
      <alignment horizontal="right"/>
    </xf>
    <xf numFmtId="184" fontId="7" fillId="3" borderId="4" xfId="3" applyNumberFormat="1" applyFont="1" applyFill="1" applyBorder="1"/>
    <xf numFmtId="184" fontId="7" fillId="3" borderId="11" xfId="4" applyNumberFormat="1" applyFont="1" applyFill="1" applyBorder="1"/>
    <xf numFmtId="10" fontId="7" fillId="3" borderId="4" xfId="4" applyNumberFormat="1" applyFont="1" applyFill="1" applyBorder="1"/>
    <xf numFmtId="10" fontId="7" fillId="6" borderId="4" xfId="4" applyNumberFormat="1" applyFont="1" applyFill="1" applyBorder="1"/>
    <xf numFmtId="10" fontId="7" fillId="6" borderId="4" xfId="0" applyNumberFormat="1" applyFont="1" applyFill="1" applyBorder="1"/>
    <xf numFmtId="184" fontId="7" fillId="3" borderId="3" xfId="4" applyNumberFormat="1" applyFont="1" applyFill="1" applyBorder="1"/>
    <xf numFmtId="184" fontId="7" fillId="3" borderId="6" xfId="4" applyNumberFormat="1" applyFont="1" applyFill="1" applyBorder="1"/>
    <xf numFmtId="10" fontId="7" fillId="3" borderId="3" xfId="4" applyNumberFormat="1" applyFont="1" applyFill="1" applyBorder="1"/>
    <xf numFmtId="10" fontId="7" fillId="6" borderId="3" xfId="4" applyNumberFormat="1" applyFont="1" applyFill="1" applyBorder="1"/>
    <xf numFmtId="10" fontId="7" fillId="6" borderId="3" xfId="0" applyNumberFormat="1" applyFont="1" applyFill="1" applyBorder="1"/>
    <xf numFmtId="184" fontId="7" fillId="3" borderId="1" xfId="4" applyNumberFormat="1" applyFont="1" applyFill="1" applyBorder="1"/>
    <xf numFmtId="184" fontId="7" fillId="3" borderId="12" xfId="4" applyNumberFormat="1" applyFont="1" applyFill="1" applyBorder="1"/>
    <xf numFmtId="10" fontId="7" fillId="3" borderId="1" xfId="4" applyNumberFormat="1" applyFont="1" applyFill="1" applyBorder="1"/>
    <xf numFmtId="10" fontId="7" fillId="6" borderId="1" xfId="4" applyNumberFormat="1" applyFont="1" applyFill="1" applyBorder="1"/>
    <xf numFmtId="10" fontId="7" fillId="6" borderId="1" xfId="0" applyNumberFormat="1" applyFont="1" applyFill="1" applyBorder="1"/>
    <xf numFmtId="10" fontId="7" fillId="0" borderId="0" xfId="4" applyNumberFormat="1" applyFont="1" applyFill="1" applyBorder="1"/>
    <xf numFmtId="0" fontId="43" fillId="2" borderId="10" xfId="0" applyFont="1" applyFill="1" applyBorder="1"/>
    <xf numFmtId="9" fontId="43" fillId="2" borderId="11" xfId="0" applyNumberFormat="1" applyFont="1" applyFill="1" applyBorder="1"/>
    <xf numFmtId="0" fontId="43" fillId="2" borderId="5" xfId="0" applyFont="1" applyFill="1" applyBorder="1"/>
    <xf numFmtId="9" fontId="43" fillId="2" borderId="6" xfId="0" applyNumberFormat="1" applyFont="1" applyFill="1" applyBorder="1"/>
    <xf numFmtId="0" fontId="43" fillId="5" borderId="10" xfId="0" applyFont="1" applyFill="1" applyBorder="1"/>
    <xf numFmtId="0" fontId="7" fillId="5" borderId="11" xfId="0" applyFont="1" applyFill="1" applyBorder="1"/>
    <xf numFmtId="0" fontId="7" fillId="0" borderId="0" xfId="0" applyFont="1" applyAlignment="1">
      <alignment horizontal="left" vertical="center" wrapText="1"/>
    </xf>
    <xf numFmtId="0" fontId="43" fillId="5" borderId="8" xfId="0" applyFont="1" applyFill="1" applyBorder="1"/>
    <xf numFmtId="10" fontId="18" fillId="5" borderId="12" xfId="4" applyNumberFormat="1" applyFont="1" applyFill="1" applyBorder="1"/>
    <xf numFmtId="0" fontId="8" fillId="0" borderId="0" xfId="0" applyFont="1"/>
    <xf numFmtId="0" fontId="60" fillId="0" borderId="0" xfId="0" applyFont="1"/>
    <xf numFmtId="9" fontId="61" fillId="0" borderId="0" xfId="4" applyFont="1"/>
    <xf numFmtId="0" fontId="60" fillId="0" borderId="0" xfId="0" quotePrefix="1" applyFont="1"/>
    <xf numFmtId="0" fontId="60" fillId="0" borderId="0" xfId="0" quotePrefix="1" applyFont="1" applyAlignment="1">
      <alignment horizontal="left"/>
    </xf>
    <xf numFmtId="0" fontId="60" fillId="0" borderId="0" xfId="0" applyFont="1" applyAlignment="1">
      <alignment horizontal="right"/>
    </xf>
    <xf numFmtId="0" fontId="61" fillId="0" borderId="0" xfId="0" applyFont="1" applyAlignment="1">
      <alignment horizontal="left"/>
    </xf>
    <xf numFmtId="10" fontId="61" fillId="0" borderId="0" xfId="0" applyNumberFormat="1" applyFont="1"/>
    <xf numFmtId="10" fontId="61" fillId="0" borderId="0" xfId="4" applyNumberFormat="1" applyFont="1"/>
    <xf numFmtId="2" fontId="62" fillId="5" borderId="2" xfId="0" applyNumberFormat="1" applyFont="1" applyFill="1" applyBorder="1"/>
    <xf numFmtId="2" fontId="63" fillId="0" borderId="0" xfId="0" applyNumberFormat="1" applyFont="1"/>
  </cellXfs>
  <cellStyles count="5">
    <cellStyle name="Hipervínculo" xfId="1" builtinId="8"/>
    <cellStyle name="Millares" xfId="2" builtinId="3"/>
    <cellStyle name="Moneda" xfId="3" builtinId="4"/>
    <cellStyle name="Normal" xfId="0" builtinId="0"/>
    <cellStyle name="Porcentaje" xfId="4"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s-ES" sz="1400"/>
              <a:t>Plan A: Low Fixed Costs, 
Low Operating Leverage</a:t>
            </a:r>
          </a:p>
        </c:rich>
      </c:tx>
      <c:layout>
        <c:manualLayout>
          <c:xMode val="edge"/>
          <c:yMode val="edge"/>
          <c:x val="0.23839009287925697"/>
          <c:y val="3.4985472544461417E-2"/>
        </c:manualLayout>
      </c:layout>
      <c:overlay val="0"/>
    </c:title>
    <c:autoTitleDeleted val="0"/>
    <c:plotArea>
      <c:layout>
        <c:manualLayout>
          <c:layoutTarget val="inner"/>
          <c:xMode val="edge"/>
          <c:yMode val="edge"/>
          <c:x val="0.2714296399153201"/>
          <c:y val="0.17201190667693531"/>
          <c:w val="0.46850844360039151"/>
          <c:h val="0.69096308275311302"/>
        </c:manualLayout>
      </c:layout>
      <c:scatterChart>
        <c:scatterStyle val="smoothMarker"/>
        <c:varyColors val="0"/>
        <c:ser>
          <c:idx val="0"/>
          <c:order val="0"/>
          <c:tx>
            <c:v>Revenues</c:v>
          </c:tx>
          <c:xVal>
            <c:numRef>
              <c:f>'Capital Structure Decisions'!$D$34:$D$38</c:f>
              <c:numCache>
                <c:formatCode>#,##0</c:formatCode>
                <c:ptCount val="5"/>
                <c:pt idx="0" formatCode="General">
                  <c:v>0</c:v>
                </c:pt>
                <c:pt idx="1">
                  <c:v>40000</c:v>
                </c:pt>
                <c:pt idx="2">
                  <c:v>100000</c:v>
                </c:pt>
                <c:pt idx="3">
                  <c:v>160000</c:v>
                </c:pt>
                <c:pt idx="4">
                  <c:v>200000</c:v>
                </c:pt>
              </c:numCache>
            </c:numRef>
          </c:xVal>
          <c:yVal>
            <c:numRef>
              <c:f>'Capital Structure Decisions'!$E$34:$E$38</c:f>
              <c:numCache>
                <c:formatCode>"$"#,##0</c:formatCode>
                <c:ptCount val="5"/>
                <c:pt idx="0">
                  <c:v>0</c:v>
                </c:pt>
                <c:pt idx="1">
                  <c:v>80000</c:v>
                </c:pt>
                <c:pt idx="2">
                  <c:v>200000</c:v>
                </c:pt>
                <c:pt idx="3">
                  <c:v>320000</c:v>
                </c:pt>
                <c:pt idx="4">
                  <c:v>400000</c:v>
                </c:pt>
              </c:numCache>
            </c:numRef>
          </c:yVal>
          <c:smooth val="1"/>
        </c:ser>
        <c:ser>
          <c:idx val="1"/>
          <c:order val="1"/>
          <c:tx>
            <c:v>VC</c:v>
          </c:tx>
          <c:xVal>
            <c:numRef>
              <c:f>'Capital Structure Decisions'!$D$34:$D$38</c:f>
              <c:numCache>
                <c:formatCode>#,##0</c:formatCode>
                <c:ptCount val="5"/>
                <c:pt idx="0" formatCode="General">
                  <c:v>0</c:v>
                </c:pt>
                <c:pt idx="1">
                  <c:v>40000</c:v>
                </c:pt>
                <c:pt idx="2">
                  <c:v>100000</c:v>
                </c:pt>
                <c:pt idx="3">
                  <c:v>160000</c:v>
                </c:pt>
                <c:pt idx="4">
                  <c:v>200000</c:v>
                </c:pt>
              </c:numCache>
            </c:numRef>
          </c:xVal>
          <c:yVal>
            <c:numRef>
              <c:f>'Capital Structure Decisions'!$B$49:$B$53</c:f>
              <c:numCache>
                <c:formatCode>"$"#,##0</c:formatCode>
                <c:ptCount val="5"/>
                <c:pt idx="0">
                  <c:v>20000</c:v>
                </c:pt>
                <c:pt idx="1">
                  <c:v>80000</c:v>
                </c:pt>
                <c:pt idx="2">
                  <c:v>170000</c:v>
                </c:pt>
                <c:pt idx="3">
                  <c:v>260000</c:v>
                </c:pt>
                <c:pt idx="4">
                  <c:v>320000</c:v>
                </c:pt>
              </c:numCache>
            </c:numRef>
          </c:yVal>
          <c:smooth val="1"/>
        </c:ser>
        <c:ser>
          <c:idx val="2"/>
          <c:order val="2"/>
          <c:tx>
            <c:v>FC</c:v>
          </c:tx>
          <c:xVal>
            <c:numRef>
              <c:f>'Capital Structure Decisions'!$D$34:$D$38</c:f>
              <c:numCache>
                <c:formatCode>#,##0</c:formatCode>
                <c:ptCount val="5"/>
                <c:pt idx="0" formatCode="General">
                  <c:v>0</c:v>
                </c:pt>
                <c:pt idx="1">
                  <c:v>40000</c:v>
                </c:pt>
                <c:pt idx="2">
                  <c:v>100000</c:v>
                </c:pt>
                <c:pt idx="3">
                  <c:v>160000</c:v>
                </c:pt>
                <c:pt idx="4">
                  <c:v>200000</c:v>
                </c:pt>
              </c:numCache>
            </c:numRef>
          </c:xVal>
          <c:yVal>
            <c:numRef>
              <c:f>('Capital Structure Decisions'!$D$25,'Capital Structure Decisions'!$D$25,'Capital Structure Decisions'!$D$25,'Capital Structure Decisions'!$D$25,'Capital Structure Decisions'!$D$25)</c:f>
              <c:numCache>
                <c:formatCode>"$"#,##0_);[Red]\("$"#,##0\)</c:formatCode>
                <c:ptCount val="5"/>
                <c:pt idx="0">
                  <c:v>20000</c:v>
                </c:pt>
                <c:pt idx="1">
                  <c:v>20000</c:v>
                </c:pt>
                <c:pt idx="2">
                  <c:v>20000</c:v>
                </c:pt>
                <c:pt idx="3">
                  <c:v>20000</c:v>
                </c:pt>
                <c:pt idx="4">
                  <c:v>20000</c:v>
                </c:pt>
              </c:numCache>
            </c:numRef>
          </c:yVal>
          <c:smooth val="1"/>
        </c:ser>
        <c:dLbls>
          <c:showLegendKey val="0"/>
          <c:showVal val="0"/>
          <c:showCatName val="0"/>
          <c:showSerName val="0"/>
          <c:showPercent val="0"/>
          <c:showBubbleSize val="0"/>
        </c:dLbls>
        <c:axId val="124873344"/>
        <c:axId val="125102336"/>
      </c:scatterChart>
      <c:valAx>
        <c:axId val="124873344"/>
        <c:scaling>
          <c:orientation val="minMax"/>
          <c:max val="120000"/>
          <c:min val="0"/>
        </c:scaling>
        <c:delete val="0"/>
        <c:axPos val="b"/>
        <c:title>
          <c:tx>
            <c:rich>
              <a:bodyPr/>
              <a:lstStyle/>
              <a:p>
                <a:pPr>
                  <a:defRPr/>
                </a:pPr>
                <a:r>
                  <a:rPr lang="es-ES"/>
                  <a:t>Sales (units)</a:t>
                </a:r>
              </a:p>
            </c:rich>
          </c:tx>
          <c:layout>
            <c:manualLayout>
              <c:xMode val="edge"/>
              <c:yMode val="edge"/>
              <c:x val="0.38080495356037153"/>
              <c:y val="0.92419956638285572"/>
            </c:manualLayout>
          </c:layout>
          <c:overlay val="0"/>
        </c:title>
        <c:numFmt formatCode="General" sourceLinked="1"/>
        <c:majorTickMark val="out"/>
        <c:minorTickMark val="none"/>
        <c:tickLblPos val="nextTo"/>
        <c:txPr>
          <a:bodyPr rot="0" vert="horz"/>
          <a:lstStyle/>
          <a:p>
            <a:pPr>
              <a:defRPr/>
            </a:pPr>
            <a:endParaRPr lang="es-ES"/>
          </a:p>
        </c:txPr>
        <c:crossAx val="125102336"/>
        <c:crosses val="autoZero"/>
        <c:crossBetween val="midCat"/>
      </c:valAx>
      <c:valAx>
        <c:axId val="125102336"/>
        <c:scaling>
          <c:orientation val="minMax"/>
          <c:max val="240000"/>
          <c:min val="0"/>
        </c:scaling>
        <c:delete val="0"/>
        <c:axPos val="l"/>
        <c:majorGridlines/>
        <c:title>
          <c:tx>
            <c:rich>
              <a:bodyPr/>
              <a:lstStyle/>
              <a:p>
                <a:pPr>
                  <a:defRPr/>
                </a:pPr>
                <a:r>
                  <a:rPr lang="es-ES"/>
                  <a:t>Revenues and costs</a:t>
                </a:r>
              </a:p>
            </c:rich>
          </c:tx>
          <c:layout>
            <c:manualLayout>
              <c:xMode val="edge"/>
              <c:yMode val="edge"/>
              <c:x val="1.1349837891977847E-2"/>
              <c:y val="0.36443191087500665"/>
            </c:manualLayout>
          </c:layout>
          <c:overlay val="0"/>
        </c:title>
        <c:numFmt formatCode="&quot;$&quot;#,##0" sourceLinked="1"/>
        <c:majorTickMark val="out"/>
        <c:minorTickMark val="none"/>
        <c:tickLblPos val="nextTo"/>
        <c:txPr>
          <a:bodyPr rot="0" vert="horz"/>
          <a:lstStyle/>
          <a:p>
            <a:pPr>
              <a:defRPr sz="800"/>
            </a:pPr>
            <a:endParaRPr lang="es-ES"/>
          </a:p>
        </c:txPr>
        <c:crossAx val="124873344"/>
        <c:crosses val="autoZero"/>
        <c:crossBetween val="midCat"/>
        <c:majorUnit val="50000"/>
      </c:valAx>
    </c:plotArea>
    <c:legend>
      <c:legendPos val="r"/>
      <c:layout>
        <c:manualLayout>
          <c:xMode val="edge"/>
          <c:yMode val="edge"/>
          <c:x val="0.73065015479876161"/>
          <c:y val="0.40816384635204989"/>
          <c:w val="0.25077399380804954"/>
          <c:h val="0.22157465944825563"/>
        </c:manualLayout>
      </c:layout>
      <c:overlay val="0"/>
      <c:txPr>
        <a:bodyPr/>
        <a:lstStyle/>
        <a:p>
          <a:pPr>
            <a:defRPr sz="800"/>
          </a:pPr>
          <a:endParaRPr lang="es-ES"/>
        </a:p>
      </c:txPr>
    </c:legend>
    <c:plotVisOnly val="1"/>
    <c:dispBlanksAs val="gap"/>
    <c:showDLblsOverMax val="0"/>
  </c:chart>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s-ES" sz="1400"/>
              <a:t>Plan B: High Fixed Costs, 
High Operating Leverage</a:t>
            </a:r>
          </a:p>
        </c:rich>
      </c:tx>
      <c:layout>
        <c:manualLayout>
          <c:xMode val="edge"/>
          <c:yMode val="edge"/>
          <c:x val="0.24600677354790701"/>
          <c:y val="3.4883720930232558E-2"/>
        </c:manualLayout>
      </c:layout>
      <c:overlay val="0"/>
    </c:title>
    <c:autoTitleDeleted val="0"/>
    <c:plotArea>
      <c:layout>
        <c:manualLayout>
          <c:layoutTarget val="inner"/>
          <c:xMode val="edge"/>
          <c:yMode val="edge"/>
          <c:x val="0.26198123936270618"/>
          <c:y val="0.15988372093023256"/>
          <c:w val="0.49201354709581402"/>
          <c:h val="0.70058139534883723"/>
        </c:manualLayout>
      </c:layout>
      <c:scatterChart>
        <c:scatterStyle val="smoothMarker"/>
        <c:varyColors val="0"/>
        <c:ser>
          <c:idx val="0"/>
          <c:order val="0"/>
          <c:tx>
            <c:v>Revenues</c:v>
          </c:tx>
          <c:xVal>
            <c:numRef>
              <c:f>'Capital Structure Decisions'!$D$34:$D$38</c:f>
              <c:numCache>
                <c:formatCode>#,##0</c:formatCode>
                <c:ptCount val="5"/>
                <c:pt idx="0" formatCode="General">
                  <c:v>0</c:v>
                </c:pt>
                <c:pt idx="1">
                  <c:v>40000</c:v>
                </c:pt>
                <c:pt idx="2">
                  <c:v>100000</c:v>
                </c:pt>
                <c:pt idx="3">
                  <c:v>160000</c:v>
                </c:pt>
                <c:pt idx="4">
                  <c:v>200000</c:v>
                </c:pt>
              </c:numCache>
            </c:numRef>
          </c:xVal>
          <c:yVal>
            <c:numRef>
              <c:f>'Capital Structure Decisions'!$E$34:$E$38</c:f>
              <c:numCache>
                <c:formatCode>"$"#,##0</c:formatCode>
                <c:ptCount val="5"/>
                <c:pt idx="0">
                  <c:v>0</c:v>
                </c:pt>
                <c:pt idx="1">
                  <c:v>80000</c:v>
                </c:pt>
                <c:pt idx="2">
                  <c:v>200000</c:v>
                </c:pt>
                <c:pt idx="3">
                  <c:v>320000</c:v>
                </c:pt>
                <c:pt idx="4">
                  <c:v>400000</c:v>
                </c:pt>
              </c:numCache>
            </c:numRef>
          </c:yVal>
          <c:smooth val="1"/>
        </c:ser>
        <c:ser>
          <c:idx val="1"/>
          <c:order val="1"/>
          <c:tx>
            <c:v>VC</c:v>
          </c:tx>
          <c:xVal>
            <c:numRef>
              <c:f>'Capital Structure Decisions'!$D$34:$D$38</c:f>
              <c:numCache>
                <c:formatCode>#,##0</c:formatCode>
                <c:ptCount val="5"/>
                <c:pt idx="0" formatCode="General">
                  <c:v>0</c:v>
                </c:pt>
                <c:pt idx="1">
                  <c:v>40000</c:v>
                </c:pt>
                <c:pt idx="2">
                  <c:v>100000</c:v>
                </c:pt>
                <c:pt idx="3">
                  <c:v>160000</c:v>
                </c:pt>
                <c:pt idx="4">
                  <c:v>200000</c:v>
                </c:pt>
              </c:numCache>
            </c:numRef>
          </c:xVal>
          <c:yVal>
            <c:numRef>
              <c:f>'Capital Structure Decisions'!$F$49:$F$53</c:f>
              <c:numCache>
                <c:formatCode>"$"#,##0</c:formatCode>
                <c:ptCount val="5"/>
                <c:pt idx="0">
                  <c:v>60000</c:v>
                </c:pt>
                <c:pt idx="1">
                  <c:v>100000</c:v>
                </c:pt>
                <c:pt idx="2">
                  <c:v>160000</c:v>
                </c:pt>
                <c:pt idx="3">
                  <c:v>220000</c:v>
                </c:pt>
                <c:pt idx="4">
                  <c:v>260000</c:v>
                </c:pt>
              </c:numCache>
            </c:numRef>
          </c:yVal>
          <c:smooth val="1"/>
        </c:ser>
        <c:ser>
          <c:idx val="2"/>
          <c:order val="2"/>
          <c:tx>
            <c:v>FC</c:v>
          </c:tx>
          <c:xVal>
            <c:numRef>
              <c:f>'Capital Structure Decisions'!$D$34:$D$38</c:f>
              <c:numCache>
                <c:formatCode>#,##0</c:formatCode>
                <c:ptCount val="5"/>
                <c:pt idx="0" formatCode="General">
                  <c:v>0</c:v>
                </c:pt>
                <c:pt idx="1">
                  <c:v>40000</c:v>
                </c:pt>
                <c:pt idx="2">
                  <c:v>100000</c:v>
                </c:pt>
                <c:pt idx="3">
                  <c:v>160000</c:v>
                </c:pt>
                <c:pt idx="4">
                  <c:v>200000</c:v>
                </c:pt>
              </c:numCache>
            </c:numRef>
          </c:xVal>
          <c:yVal>
            <c:numRef>
              <c:f>('Capital Structure Decisions'!$E$25,'Capital Structure Decisions'!$E$25,'Capital Structure Decisions'!$E$25,'Capital Structure Decisions'!$E$25,'Capital Structure Decisions'!$E$25)</c:f>
              <c:numCache>
                <c:formatCode>"$"#,##0_);[Red]\("$"#,##0\)</c:formatCode>
                <c:ptCount val="5"/>
                <c:pt idx="0">
                  <c:v>60000</c:v>
                </c:pt>
                <c:pt idx="1">
                  <c:v>60000</c:v>
                </c:pt>
                <c:pt idx="2">
                  <c:v>60000</c:v>
                </c:pt>
                <c:pt idx="3">
                  <c:v>60000</c:v>
                </c:pt>
                <c:pt idx="4">
                  <c:v>60000</c:v>
                </c:pt>
              </c:numCache>
            </c:numRef>
          </c:yVal>
          <c:smooth val="1"/>
        </c:ser>
        <c:dLbls>
          <c:showLegendKey val="0"/>
          <c:showVal val="0"/>
          <c:showCatName val="0"/>
          <c:showSerName val="0"/>
          <c:showPercent val="0"/>
          <c:showBubbleSize val="0"/>
        </c:dLbls>
        <c:axId val="132457984"/>
        <c:axId val="132530560"/>
      </c:scatterChart>
      <c:valAx>
        <c:axId val="132457984"/>
        <c:scaling>
          <c:orientation val="minMax"/>
          <c:max val="120000"/>
          <c:min val="0"/>
        </c:scaling>
        <c:delete val="0"/>
        <c:axPos val="b"/>
        <c:title>
          <c:tx>
            <c:rich>
              <a:bodyPr/>
              <a:lstStyle/>
              <a:p>
                <a:pPr>
                  <a:defRPr/>
                </a:pPr>
                <a:r>
                  <a:rPr lang="es-ES"/>
                  <a:t>Sales (units)</a:t>
                </a:r>
              </a:p>
            </c:rich>
          </c:tx>
          <c:layout>
            <c:manualLayout>
              <c:xMode val="edge"/>
              <c:yMode val="edge"/>
              <c:x val="0.39297185904405924"/>
              <c:y val="0.92151162790697672"/>
            </c:manualLayout>
          </c:layout>
          <c:overlay val="0"/>
        </c:title>
        <c:numFmt formatCode="General" sourceLinked="1"/>
        <c:majorTickMark val="out"/>
        <c:minorTickMark val="none"/>
        <c:tickLblPos val="nextTo"/>
        <c:txPr>
          <a:bodyPr rot="0" vert="horz"/>
          <a:lstStyle/>
          <a:p>
            <a:pPr>
              <a:defRPr/>
            </a:pPr>
            <a:endParaRPr lang="es-ES"/>
          </a:p>
        </c:txPr>
        <c:crossAx val="132530560"/>
        <c:crosses val="autoZero"/>
        <c:crossBetween val="midCat"/>
      </c:valAx>
      <c:valAx>
        <c:axId val="132530560"/>
        <c:scaling>
          <c:orientation val="minMax"/>
          <c:max val="240000"/>
          <c:min val="0"/>
        </c:scaling>
        <c:delete val="0"/>
        <c:axPos val="l"/>
        <c:majorGridlines/>
        <c:title>
          <c:tx>
            <c:rich>
              <a:bodyPr/>
              <a:lstStyle/>
              <a:p>
                <a:pPr>
                  <a:defRPr/>
                </a:pPr>
                <a:r>
                  <a:rPr lang="es-ES"/>
                  <a:t>Revenues and costs</a:t>
                </a:r>
              </a:p>
            </c:rich>
          </c:tx>
          <c:layout>
            <c:manualLayout>
              <c:xMode val="edge"/>
              <c:yMode val="edge"/>
              <c:x val="7.4587885838426453E-3"/>
              <c:y val="0.35755803437579897"/>
            </c:manualLayout>
          </c:layout>
          <c:overlay val="0"/>
        </c:title>
        <c:numFmt formatCode="&quot;$&quot;#,##0" sourceLinked="1"/>
        <c:majorTickMark val="out"/>
        <c:minorTickMark val="none"/>
        <c:tickLblPos val="nextTo"/>
        <c:txPr>
          <a:bodyPr rot="0" vert="horz"/>
          <a:lstStyle/>
          <a:p>
            <a:pPr>
              <a:defRPr sz="800"/>
            </a:pPr>
            <a:endParaRPr lang="es-ES"/>
          </a:p>
        </c:txPr>
        <c:crossAx val="132457984"/>
        <c:crosses val="autoZero"/>
        <c:crossBetween val="midCat"/>
      </c:valAx>
    </c:plotArea>
    <c:legend>
      <c:legendPos val="r"/>
      <c:layout>
        <c:manualLayout>
          <c:xMode val="edge"/>
          <c:yMode val="edge"/>
          <c:x val="0.72204585482892192"/>
          <c:y val="0.34883720930232559"/>
          <c:w val="0.26517613252566602"/>
          <c:h val="0.23837209302325582"/>
        </c:manualLayout>
      </c:layout>
      <c:overlay val="0"/>
      <c:txPr>
        <a:bodyPr/>
        <a:lstStyle/>
        <a:p>
          <a:pPr>
            <a:defRPr sz="800"/>
          </a:pPr>
          <a:endParaRPr lang="es-ES"/>
        </a:p>
      </c:txPr>
    </c:legend>
    <c:plotVisOnly val="1"/>
    <c:dispBlanksAs val="gap"/>
    <c:showDLblsOverMax val="0"/>
  </c:chart>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1896162528216703"/>
          <c:y val="6.8306193183789013E-2"/>
          <c:w val="0.72234762979683975"/>
          <c:h val="0.77595835456784323"/>
        </c:manualLayout>
      </c:layout>
      <c:scatterChart>
        <c:scatterStyle val="smoothMarker"/>
        <c:varyColors val="0"/>
        <c:ser>
          <c:idx val="0"/>
          <c:order val="0"/>
          <c:tx>
            <c:v> Debt</c:v>
          </c:tx>
          <c:xVal>
            <c:numRef>
              <c:f>'Capital Structure Decisions'!$A$251:$A$257</c:f>
              <c:numCache>
                <c:formatCode>0%</c:formatCode>
                <c:ptCount val="7"/>
                <c:pt idx="0">
                  <c:v>0</c:v>
                </c:pt>
                <c:pt idx="1">
                  <c:v>0.1</c:v>
                </c:pt>
                <c:pt idx="2">
                  <c:v>0.2</c:v>
                </c:pt>
                <c:pt idx="3">
                  <c:v>0.3</c:v>
                </c:pt>
                <c:pt idx="4">
                  <c:v>0.4</c:v>
                </c:pt>
                <c:pt idx="5">
                  <c:v>0.5</c:v>
                </c:pt>
                <c:pt idx="6">
                  <c:v>0.6</c:v>
                </c:pt>
              </c:numCache>
            </c:numRef>
          </c:xVal>
          <c:yVal>
            <c:numRef>
              <c:f>'Capital Structure Decisions'!$C$251:$C$257</c:f>
              <c:numCache>
                <c:formatCode>0.00%</c:formatCode>
                <c:ptCount val="7"/>
                <c:pt idx="0">
                  <c:v>4.8000000000000001E-2</c:v>
                </c:pt>
                <c:pt idx="1">
                  <c:v>4.8000000000000001E-2</c:v>
                </c:pt>
                <c:pt idx="2">
                  <c:v>4.8599999999999997E-2</c:v>
                </c:pt>
                <c:pt idx="3">
                  <c:v>5.1000000000000004E-2</c:v>
                </c:pt>
                <c:pt idx="4">
                  <c:v>5.3999999999999999E-2</c:v>
                </c:pt>
                <c:pt idx="5">
                  <c:v>6.6000000000000003E-2</c:v>
                </c:pt>
                <c:pt idx="6">
                  <c:v>8.4000000000000005E-2</c:v>
                </c:pt>
              </c:numCache>
            </c:numRef>
          </c:yVal>
          <c:smooth val="1"/>
        </c:ser>
        <c:ser>
          <c:idx val="1"/>
          <c:order val="1"/>
          <c:tx>
            <c:v>Equity</c:v>
          </c:tx>
          <c:xVal>
            <c:numRef>
              <c:f>'Capital Structure Decisions'!$A$251:$A$257</c:f>
              <c:numCache>
                <c:formatCode>0%</c:formatCode>
                <c:ptCount val="7"/>
                <c:pt idx="0">
                  <c:v>0</c:v>
                </c:pt>
                <c:pt idx="1">
                  <c:v>0.1</c:v>
                </c:pt>
                <c:pt idx="2">
                  <c:v>0.2</c:v>
                </c:pt>
                <c:pt idx="3">
                  <c:v>0.3</c:v>
                </c:pt>
                <c:pt idx="4">
                  <c:v>0.4</c:v>
                </c:pt>
                <c:pt idx="5">
                  <c:v>0.5</c:v>
                </c:pt>
                <c:pt idx="6">
                  <c:v>0.6</c:v>
                </c:pt>
              </c:numCache>
            </c:numRef>
          </c:xVal>
          <c:yVal>
            <c:numRef>
              <c:f>'Capital Structure Decisions'!$E$251:$E$257</c:f>
              <c:numCache>
                <c:formatCode>0.0%</c:formatCode>
                <c:ptCount val="7"/>
                <c:pt idx="0">
                  <c:v>0.12</c:v>
                </c:pt>
                <c:pt idx="1">
                  <c:v>0.124</c:v>
                </c:pt>
                <c:pt idx="2">
                  <c:v>0.129</c:v>
                </c:pt>
                <c:pt idx="3">
                  <c:v>0.13542857142857143</c:v>
                </c:pt>
                <c:pt idx="4">
                  <c:v>0.14399999999999999</c:v>
                </c:pt>
                <c:pt idx="5">
                  <c:v>0.156</c:v>
                </c:pt>
                <c:pt idx="6">
                  <c:v>0.17399999999999999</c:v>
                </c:pt>
              </c:numCache>
            </c:numRef>
          </c:yVal>
          <c:smooth val="1"/>
        </c:ser>
        <c:ser>
          <c:idx val="2"/>
          <c:order val="2"/>
          <c:tx>
            <c:v>WACC</c:v>
          </c:tx>
          <c:xVal>
            <c:numRef>
              <c:f>'Capital Structure Decisions'!$A$251:$A$257</c:f>
              <c:numCache>
                <c:formatCode>0%</c:formatCode>
                <c:ptCount val="7"/>
                <c:pt idx="0">
                  <c:v>0</c:v>
                </c:pt>
                <c:pt idx="1">
                  <c:v>0.1</c:v>
                </c:pt>
                <c:pt idx="2">
                  <c:v>0.2</c:v>
                </c:pt>
                <c:pt idx="3">
                  <c:v>0.3</c:v>
                </c:pt>
                <c:pt idx="4">
                  <c:v>0.4</c:v>
                </c:pt>
                <c:pt idx="5">
                  <c:v>0.5</c:v>
                </c:pt>
                <c:pt idx="6">
                  <c:v>0.6</c:v>
                </c:pt>
              </c:numCache>
            </c:numRef>
          </c:xVal>
          <c:yVal>
            <c:numRef>
              <c:f>'Capital Structure Decisions'!$F$251:$F$257</c:f>
              <c:numCache>
                <c:formatCode>0.00%</c:formatCode>
                <c:ptCount val="7"/>
                <c:pt idx="0">
                  <c:v>0.12</c:v>
                </c:pt>
                <c:pt idx="1">
                  <c:v>0.1164</c:v>
                </c:pt>
                <c:pt idx="2">
                  <c:v>0.11292000000000002</c:v>
                </c:pt>
                <c:pt idx="3">
                  <c:v>0.1101</c:v>
                </c:pt>
                <c:pt idx="4">
                  <c:v>0.10799999999999998</c:v>
                </c:pt>
                <c:pt idx="5">
                  <c:v>0.111</c:v>
                </c:pt>
                <c:pt idx="6">
                  <c:v>0.12</c:v>
                </c:pt>
              </c:numCache>
            </c:numRef>
          </c:yVal>
          <c:smooth val="1"/>
        </c:ser>
        <c:dLbls>
          <c:showLegendKey val="0"/>
          <c:showVal val="0"/>
          <c:showCatName val="0"/>
          <c:showSerName val="0"/>
          <c:showPercent val="0"/>
          <c:showBubbleSize val="0"/>
        </c:dLbls>
        <c:axId val="173157376"/>
        <c:axId val="173511424"/>
      </c:scatterChart>
      <c:valAx>
        <c:axId val="173157376"/>
        <c:scaling>
          <c:orientation val="minMax"/>
          <c:max val="0.6"/>
        </c:scaling>
        <c:delete val="0"/>
        <c:axPos val="b"/>
        <c:title>
          <c:tx>
            <c:rich>
              <a:bodyPr/>
              <a:lstStyle/>
              <a:p>
                <a:pPr>
                  <a:defRPr/>
                </a:pPr>
                <a:r>
                  <a:rPr lang="es-ES"/>
                  <a:t>Percent Financed with Debt</a:t>
                </a:r>
              </a:p>
            </c:rich>
          </c:tx>
          <c:layout>
            <c:manualLayout>
              <c:xMode val="edge"/>
              <c:yMode val="edge"/>
              <c:x val="0.41534988713318283"/>
              <c:y val="0.91803523639012441"/>
            </c:manualLayout>
          </c:layout>
          <c:overlay val="0"/>
        </c:title>
        <c:numFmt formatCode="0%" sourceLinked="1"/>
        <c:majorTickMark val="out"/>
        <c:minorTickMark val="none"/>
        <c:tickLblPos val="nextTo"/>
        <c:txPr>
          <a:bodyPr rot="0" vert="horz"/>
          <a:lstStyle/>
          <a:p>
            <a:pPr>
              <a:defRPr/>
            </a:pPr>
            <a:endParaRPr lang="es-ES"/>
          </a:p>
        </c:txPr>
        <c:crossAx val="173511424"/>
        <c:crosses val="autoZero"/>
        <c:crossBetween val="midCat"/>
      </c:valAx>
      <c:valAx>
        <c:axId val="173511424"/>
        <c:scaling>
          <c:orientation val="minMax"/>
        </c:scaling>
        <c:delete val="0"/>
        <c:axPos val="l"/>
        <c:numFmt formatCode="0%" sourceLinked="0"/>
        <c:majorTickMark val="out"/>
        <c:minorTickMark val="none"/>
        <c:tickLblPos val="nextTo"/>
        <c:txPr>
          <a:bodyPr rot="0" vert="horz"/>
          <a:lstStyle/>
          <a:p>
            <a:pPr>
              <a:defRPr/>
            </a:pPr>
            <a:endParaRPr lang="es-ES"/>
          </a:p>
        </c:txPr>
        <c:crossAx val="173157376"/>
        <c:crosses val="autoZero"/>
        <c:crossBetween val="midCat"/>
        <c:majorUnit val="0.05"/>
      </c:valAx>
    </c:plotArea>
    <c:plotVisOnly val="1"/>
    <c:dispBlanksAs val="gap"/>
    <c:showDLblsOverMax val="0"/>
  </c:chart>
  <c:printSettings>
    <c:headerFooter alignWithMargins="0"/>
    <c:pageMargins b="1" l="0.75" r="0.75" t="1" header="0.5" footer="0.5"/>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059159507885242"/>
          <c:y val="0.12328767123287671"/>
          <c:w val="0.65248377586569117"/>
          <c:h val="0.73698630136986298"/>
        </c:manualLayout>
      </c:layout>
      <c:scatterChart>
        <c:scatterStyle val="smoothMarker"/>
        <c:varyColors val="0"/>
        <c:ser>
          <c:idx val="0"/>
          <c:order val="0"/>
          <c:tx>
            <c:v> Value</c:v>
          </c:tx>
          <c:xVal>
            <c:numRef>
              <c:f>'Capital Structure Decisions'!$A$251:$A$257</c:f>
              <c:numCache>
                <c:formatCode>0%</c:formatCode>
                <c:ptCount val="7"/>
                <c:pt idx="0">
                  <c:v>0</c:v>
                </c:pt>
                <c:pt idx="1">
                  <c:v>0.1</c:v>
                </c:pt>
                <c:pt idx="2">
                  <c:v>0.2</c:v>
                </c:pt>
                <c:pt idx="3">
                  <c:v>0.3</c:v>
                </c:pt>
                <c:pt idx="4">
                  <c:v>0.4</c:v>
                </c:pt>
                <c:pt idx="5">
                  <c:v>0.5</c:v>
                </c:pt>
                <c:pt idx="6">
                  <c:v>0.6</c:v>
                </c:pt>
              </c:numCache>
            </c:numRef>
          </c:xVal>
          <c:yVal>
            <c:numRef>
              <c:f>'Capital Structure Decisions'!$G$251:$G$257</c:f>
              <c:numCache>
                <c:formatCode>"$"#,##0</c:formatCode>
                <c:ptCount val="7"/>
                <c:pt idx="0">
                  <c:v>200000</c:v>
                </c:pt>
                <c:pt idx="1">
                  <c:v>206185.56701030929</c:v>
                </c:pt>
                <c:pt idx="2">
                  <c:v>212539.8512221041</c:v>
                </c:pt>
                <c:pt idx="3">
                  <c:v>217983.65122615802</c:v>
                </c:pt>
                <c:pt idx="4">
                  <c:v>222222.22222222225</c:v>
                </c:pt>
                <c:pt idx="5">
                  <c:v>216216.21621621621</c:v>
                </c:pt>
                <c:pt idx="6">
                  <c:v>200000</c:v>
                </c:pt>
              </c:numCache>
            </c:numRef>
          </c:yVal>
          <c:smooth val="1"/>
        </c:ser>
        <c:dLbls>
          <c:showLegendKey val="0"/>
          <c:showVal val="0"/>
          <c:showCatName val="0"/>
          <c:showSerName val="0"/>
          <c:showPercent val="0"/>
          <c:showBubbleSize val="0"/>
        </c:dLbls>
        <c:axId val="193330176"/>
        <c:axId val="194135168"/>
      </c:scatterChart>
      <c:valAx>
        <c:axId val="193330176"/>
        <c:scaling>
          <c:orientation val="minMax"/>
          <c:max val="0.6"/>
        </c:scaling>
        <c:delete val="0"/>
        <c:axPos val="b"/>
        <c:title>
          <c:tx>
            <c:rich>
              <a:bodyPr/>
              <a:lstStyle/>
              <a:p>
                <a:pPr>
                  <a:defRPr/>
                </a:pPr>
                <a:r>
                  <a:rPr lang="es-ES"/>
                  <a:t>Percent Financed with Debt</a:t>
                </a:r>
              </a:p>
            </c:rich>
          </c:tx>
          <c:layout>
            <c:manualLayout>
              <c:xMode val="edge"/>
              <c:yMode val="edge"/>
              <c:x val="0.40189218078683875"/>
              <c:y val="0.92876712328767119"/>
            </c:manualLayout>
          </c:layout>
          <c:overlay val="0"/>
        </c:title>
        <c:numFmt formatCode="0%" sourceLinked="1"/>
        <c:majorTickMark val="out"/>
        <c:minorTickMark val="none"/>
        <c:tickLblPos val="nextTo"/>
        <c:txPr>
          <a:bodyPr rot="0" vert="horz"/>
          <a:lstStyle/>
          <a:p>
            <a:pPr>
              <a:defRPr/>
            </a:pPr>
            <a:endParaRPr lang="es-ES"/>
          </a:p>
        </c:txPr>
        <c:crossAx val="194135168"/>
        <c:crosses val="autoZero"/>
        <c:crossBetween val="midCat"/>
      </c:valAx>
      <c:valAx>
        <c:axId val="194135168"/>
        <c:scaling>
          <c:orientation val="minMax"/>
          <c:min val="0"/>
        </c:scaling>
        <c:delete val="0"/>
        <c:axPos val="l"/>
        <c:title>
          <c:tx>
            <c:rich>
              <a:bodyPr rot="0" vert="horz"/>
              <a:lstStyle/>
              <a:p>
                <a:pPr>
                  <a:defRPr/>
                </a:pPr>
                <a:r>
                  <a:rPr lang="es-ES"/>
                  <a:t>Value of Firm</a:t>
                </a:r>
              </a:p>
            </c:rich>
          </c:tx>
          <c:layout>
            <c:manualLayout>
              <c:xMode val="edge"/>
              <c:yMode val="edge"/>
              <c:x val="0.15839280066304823"/>
              <c:y val="2.7397260273972601E-2"/>
            </c:manualLayout>
          </c:layout>
          <c:overlay val="0"/>
        </c:title>
        <c:numFmt formatCode="&quot;$&quot;#,##0" sourceLinked="1"/>
        <c:majorTickMark val="out"/>
        <c:minorTickMark val="none"/>
        <c:tickLblPos val="nextTo"/>
        <c:txPr>
          <a:bodyPr rot="0" vert="horz"/>
          <a:lstStyle/>
          <a:p>
            <a:pPr>
              <a:defRPr/>
            </a:pPr>
            <a:endParaRPr lang="es-ES"/>
          </a:p>
        </c:txPr>
        <c:crossAx val="193330176"/>
        <c:crosses val="autoZero"/>
        <c:crossBetween val="midCat"/>
      </c:valAx>
    </c:plotArea>
    <c:plotVisOnly val="1"/>
    <c:dispBlanksAs val="gap"/>
    <c:showDLblsOverMax val="0"/>
  </c:chart>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41501976284585"/>
          <c:y val="0.25885593023023756"/>
          <c:w val="0.67391304347826086"/>
          <c:h val="0.52043665972605657"/>
        </c:manualLayout>
      </c:layout>
      <c:scatterChart>
        <c:scatterStyle val="smoothMarker"/>
        <c:varyColors val="0"/>
        <c:ser>
          <c:idx val="4"/>
          <c:order val="0"/>
          <c:tx>
            <c:v>Price</c:v>
          </c:tx>
          <c:xVal>
            <c:numRef>
              <c:f>'Capital Structure Decisions'!$A$340:$A$346</c:f>
              <c:numCache>
                <c:formatCode>0%</c:formatCode>
                <c:ptCount val="7"/>
                <c:pt idx="0">
                  <c:v>0</c:v>
                </c:pt>
                <c:pt idx="1">
                  <c:v>0.1</c:v>
                </c:pt>
                <c:pt idx="2">
                  <c:v>0.2</c:v>
                </c:pt>
                <c:pt idx="3">
                  <c:v>0.3</c:v>
                </c:pt>
                <c:pt idx="4">
                  <c:v>0.4</c:v>
                </c:pt>
                <c:pt idx="5">
                  <c:v>0.5</c:v>
                </c:pt>
                <c:pt idx="6">
                  <c:v>0.6</c:v>
                </c:pt>
              </c:numCache>
            </c:numRef>
          </c:xVal>
          <c:yVal>
            <c:numRef>
              <c:f>'Capital Structure Decisions'!$E$340:$E$346</c:f>
              <c:numCache>
                <c:formatCode>"$"#,##0.00</c:formatCode>
                <c:ptCount val="7"/>
                <c:pt idx="0">
                  <c:v>20</c:v>
                </c:pt>
                <c:pt idx="1">
                  <c:v>20.618556701030929</c:v>
                </c:pt>
                <c:pt idx="2">
                  <c:v>21.253985122210409</c:v>
                </c:pt>
                <c:pt idx="3">
                  <c:v>21.798365122615802</c:v>
                </c:pt>
                <c:pt idx="4">
                  <c:v>22.222222222222225</c:v>
                </c:pt>
                <c:pt idx="5">
                  <c:v>21.621621621621621</c:v>
                </c:pt>
                <c:pt idx="6">
                  <c:v>20</c:v>
                </c:pt>
              </c:numCache>
            </c:numRef>
          </c:yVal>
          <c:smooth val="1"/>
        </c:ser>
        <c:dLbls>
          <c:showLegendKey val="0"/>
          <c:showVal val="0"/>
          <c:showCatName val="0"/>
          <c:showSerName val="0"/>
          <c:showPercent val="0"/>
          <c:showBubbleSize val="0"/>
        </c:dLbls>
        <c:axId val="195808256"/>
        <c:axId val="196458752"/>
      </c:scatterChart>
      <c:scatterChart>
        <c:scatterStyle val="lineMarker"/>
        <c:varyColors val="0"/>
        <c:ser>
          <c:idx val="5"/>
          <c:order val="1"/>
          <c:tx>
            <c:v>EPS</c:v>
          </c:tx>
          <c:xVal>
            <c:numRef>
              <c:f>'Capital Structure Decisions'!$A$340:$A$346</c:f>
              <c:numCache>
                <c:formatCode>0%</c:formatCode>
                <c:ptCount val="7"/>
                <c:pt idx="0">
                  <c:v>0</c:v>
                </c:pt>
                <c:pt idx="1">
                  <c:v>0.1</c:v>
                </c:pt>
                <c:pt idx="2">
                  <c:v>0.2</c:v>
                </c:pt>
                <c:pt idx="3">
                  <c:v>0.3</c:v>
                </c:pt>
                <c:pt idx="4">
                  <c:v>0.4</c:v>
                </c:pt>
                <c:pt idx="5">
                  <c:v>0.5</c:v>
                </c:pt>
                <c:pt idx="6">
                  <c:v>0.6</c:v>
                </c:pt>
              </c:numCache>
            </c:numRef>
          </c:xVal>
          <c:yVal>
            <c:numRef>
              <c:f>'Capital Structure Decisions'!$H$340:$H$346</c:f>
              <c:numCache>
                <c:formatCode>"$"#,##0.00</c:formatCode>
                <c:ptCount val="7"/>
                <c:pt idx="0">
                  <c:v>2.4</c:v>
                </c:pt>
                <c:pt idx="1">
                  <c:v>2.5567010309278349</c:v>
                </c:pt>
                <c:pt idx="2">
                  <c:v>2.7417640807651433</c:v>
                </c:pt>
                <c:pt idx="3">
                  <c:v>2.9521214480342546</c:v>
                </c:pt>
                <c:pt idx="4">
                  <c:v>3.2</c:v>
                </c:pt>
                <c:pt idx="5">
                  <c:v>3.3729729729729727</c:v>
                </c:pt>
                <c:pt idx="6">
                  <c:v>3.48</c:v>
                </c:pt>
              </c:numCache>
            </c:numRef>
          </c:yVal>
          <c:smooth val="1"/>
        </c:ser>
        <c:dLbls>
          <c:showLegendKey val="0"/>
          <c:showVal val="0"/>
          <c:showCatName val="0"/>
          <c:showSerName val="0"/>
          <c:showPercent val="0"/>
          <c:showBubbleSize val="0"/>
        </c:dLbls>
        <c:axId val="196470272"/>
        <c:axId val="196473216"/>
      </c:scatterChart>
      <c:valAx>
        <c:axId val="195808256"/>
        <c:scaling>
          <c:orientation val="minMax"/>
          <c:max val="0.6"/>
        </c:scaling>
        <c:delete val="0"/>
        <c:axPos val="b"/>
        <c:title>
          <c:tx>
            <c:rich>
              <a:bodyPr/>
              <a:lstStyle/>
              <a:p>
                <a:pPr>
                  <a:defRPr/>
                </a:pPr>
                <a:r>
                  <a:rPr lang="es-ES"/>
                  <a:t>Percent Financed with Debt</a:t>
                </a:r>
              </a:p>
            </c:rich>
          </c:tx>
          <c:layout>
            <c:manualLayout>
              <c:xMode val="edge"/>
              <c:yMode val="edge"/>
              <c:x val="0.29249011857707508"/>
              <c:y val="0.86376136718931895"/>
            </c:manualLayout>
          </c:layout>
          <c:overlay val="0"/>
        </c:title>
        <c:numFmt formatCode="0%" sourceLinked="1"/>
        <c:majorTickMark val="out"/>
        <c:minorTickMark val="none"/>
        <c:tickLblPos val="nextTo"/>
        <c:txPr>
          <a:bodyPr rot="0" vert="horz"/>
          <a:lstStyle/>
          <a:p>
            <a:pPr>
              <a:defRPr/>
            </a:pPr>
            <a:endParaRPr lang="es-ES"/>
          </a:p>
        </c:txPr>
        <c:crossAx val="196458752"/>
        <c:crosses val="autoZero"/>
        <c:crossBetween val="midCat"/>
        <c:majorUnit val="0.1"/>
      </c:valAx>
      <c:valAx>
        <c:axId val="196458752"/>
        <c:scaling>
          <c:orientation val="minMax"/>
          <c:min val="0"/>
        </c:scaling>
        <c:delete val="0"/>
        <c:axPos val="l"/>
        <c:title>
          <c:tx>
            <c:rich>
              <a:bodyPr rot="0" vert="horz"/>
              <a:lstStyle/>
              <a:p>
                <a:pPr>
                  <a:defRPr/>
                </a:pPr>
                <a:r>
                  <a:rPr lang="es-ES"/>
                  <a:t>Stock Price</a:t>
                </a:r>
              </a:p>
            </c:rich>
          </c:tx>
          <c:layout>
            <c:manualLayout>
              <c:xMode val="edge"/>
              <c:yMode val="edge"/>
              <c:x val="9.2885375494071151E-2"/>
              <c:y val="0.13351516401349095"/>
            </c:manualLayout>
          </c:layout>
          <c:overlay val="0"/>
        </c:title>
        <c:numFmt formatCode="\$#,##0" sourceLinked="0"/>
        <c:majorTickMark val="out"/>
        <c:minorTickMark val="none"/>
        <c:tickLblPos val="nextTo"/>
        <c:txPr>
          <a:bodyPr rot="0" vert="horz"/>
          <a:lstStyle/>
          <a:p>
            <a:pPr>
              <a:defRPr/>
            </a:pPr>
            <a:endParaRPr lang="es-ES"/>
          </a:p>
        </c:txPr>
        <c:crossAx val="195808256"/>
        <c:crosses val="autoZero"/>
        <c:crossBetween val="midCat"/>
      </c:valAx>
      <c:valAx>
        <c:axId val="196470272"/>
        <c:scaling>
          <c:orientation val="minMax"/>
        </c:scaling>
        <c:delete val="1"/>
        <c:axPos val="b"/>
        <c:numFmt formatCode="0%" sourceLinked="1"/>
        <c:majorTickMark val="out"/>
        <c:minorTickMark val="none"/>
        <c:tickLblPos val="nextTo"/>
        <c:crossAx val="196473216"/>
        <c:crosses val="autoZero"/>
        <c:crossBetween val="midCat"/>
      </c:valAx>
      <c:valAx>
        <c:axId val="196473216"/>
        <c:scaling>
          <c:orientation val="minMax"/>
          <c:max val="6"/>
        </c:scaling>
        <c:delete val="0"/>
        <c:axPos val="r"/>
        <c:title>
          <c:tx>
            <c:rich>
              <a:bodyPr rot="0" vert="horz"/>
              <a:lstStyle/>
              <a:p>
                <a:pPr>
                  <a:defRPr/>
                </a:pPr>
                <a:r>
                  <a:rPr lang="es-ES"/>
                  <a:t>EPS</a:t>
                </a:r>
              </a:p>
            </c:rich>
          </c:tx>
          <c:layout>
            <c:manualLayout>
              <c:xMode val="edge"/>
              <c:yMode val="edge"/>
              <c:x val="0.80039525691699609"/>
              <c:y val="0.1525887588725611"/>
            </c:manualLayout>
          </c:layout>
          <c:overlay val="0"/>
        </c:title>
        <c:numFmt formatCode="\$#,##0" sourceLinked="0"/>
        <c:majorTickMark val="cross"/>
        <c:minorTickMark val="none"/>
        <c:tickLblPos val="nextTo"/>
        <c:txPr>
          <a:bodyPr rot="0" vert="horz"/>
          <a:lstStyle/>
          <a:p>
            <a:pPr>
              <a:defRPr/>
            </a:pPr>
            <a:endParaRPr lang="es-ES"/>
          </a:p>
        </c:txPr>
        <c:crossAx val="196470272"/>
        <c:crosses val="max"/>
        <c:crossBetween val="midCat"/>
        <c:majorUnit val="2"/>
      </c:valAx>
    </c:plotArea>
    <c:plotVisOnly val="1"/>
    <c:dispBlanksAs val="gap"/>
    <c:showDLblsOverMax val="0"/>
  </c:chart>
  <c:printSettings>
    <c:headerFooter alignWithMargins="0"/>
    <c:pageMargins b="1" l="0.75" r="0.75" t="1" header="0.5" footer="0.5"/>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Without Taxes</a:t>
            </a:r>
          </a:p>
        </c:rich>
      </c:tx>
      <c:layout>
        <c:manualLayout>
          <c:xMode val="edge"/>
          <c:yMode val="edge"/>
          <c:x val="0.35156339407194537"/>
          <c:y val="3.6065573770491806E-2"/>
        </c:manualLayout>
      </c:layout>
      <c:overlay val="0"/>
    </c:title>
    <c:autoTitleDeleted val="0"/>
    <c:plotArea>
      <c:layout>
        <c:manualLayout>
          <c:layoutTarget val="inner"/>
          <c:xMode val="edge"/>
          <c:yMode val="edge"/>
          <c:x val="0.17968795697010542"/>
          <c:y val="0.10491803278688525"/>
          <c:w val="0.68750174840735989"/>
          <c:h val="0.70163934426229513"/>
        </c:manualLayout>
      </c:layout>
      <c:scatterChart>
        <c:scatterStyle val="lineMarker"/>
        <c:varyColors val="0"/>
        <c:ser>
          <c:idx val="0"/>
          <c:order val="0"/>
          <c:tx>
            <c:strRef>
              <c:f>Extensions!$F$85</c:f>
              <c:strCache>
                <c:ptCount val="1"/>
                <c:pt idx="0">
                  <c:v>rs</c:v>
                </c:pt>
              </c:strCache>
            </c:strRef>
          </c:tx>
          <c:marker>
            <c:symbol val="none"/>
          </c:marker>
          <c:xVal>
            <c:numRef>
              <c:f>Extensions!$D$86:$D$90</c:f>
              <c:numCache>
                <c:formatCode>0.00%</c:formatCode>
                <c:ptCount val="5"/>
                <c:pt idx="0">
                  <c:v>0</c:v>
                </c:pt>
                <c:pt idx="1">
                  <c:v>0.25</c:v>
                </c:pt>
                <c:pt idx="2">
                  <c:v>0.5</c:v>
                </c:pt>
                <c:pt idx="3">
                  <c:v>0.75</c:v>
                </c:pt>
                <c:pt idx="4">
                  <c:v>1</c:v>
                </c:pt>
              </c:numCache>
            </c:numRef>
          </c:xVal>
          <c:yVal>
            <c:numRef>
              <c:f>Extensions!$F$86:$F$90</c:f>
              <c:numCache>
                <c:formatCode>0.00%</c:formatCode>
                <c:ptCount val="5"/>
                <c:pt idx="0">
                  <c:v>0.12</c:v>
                </c:pt>
                <c:pt idx="1">
                  <c:v>0.13333333333333333</c:v>
                </c:pt>
                <c:pt idx="2">
                  <c:v>0.15999999999999998</c:v>
                </c:pt>
                <c:pt idx="3">
                  <c:v>0.24</c:v>
                </c:pt>
              </c:numCache>
            </c:numRef>
          </c:yVal>
          <c:smooth val="0"/>
        </c:ser>
        <c:ser>
          <c:idx val="1"/>
          <c:order val="1"/>
          <c:tx>
            <c:strRef>
              <c:f>Extensions!$G$85</c:f>
              <c:strCache>
                <c:ptCount val="1"/>
                <c:pt idx="0">
                  <c:v>WACC</c:v>
                </c:pt>
              </c:strCache>
            </c:strRef>
          </c:tx>
          <c:marker>
            <c:symbol val="none"/>
          </c:marker>
          <c:xVal>
            <c:numRef>
              <c:f>Extensions!$D$86:$D$90</c:f>
              <c:numCache>
                <c:formatCode>0.00%</c:formatCode>
                <c:ptCount val="5"/>
                <c:pt idx="0">
                  <c:v>0</c:v>
                </c:pt>
                <c:pt idx="1">
                  <c:v>0.25</c:v>
                </c:pt>
                <c:pt idx="2">
                  <c:v>0.5</c:v>
                </c:pt>
                <c:pt idx="3">
                  <c:v>0.75</c:v>
                </c:pt>
                <c:pt idx="4">
                  <c:v>1</c:v>
                </c:pt>
              </c:numCache>
            </c:numRef>
          </c:xVal>
          <c:yVal>
            <c:numRef>
              <c:f>Extensions!$G$86:$G$90</c:f>
              <c:numCache>
                <c:formatCode>0.00%</c:formatCode>
                <c:ptCount val="5"/>
                <c:pt idx="0">
                  <c:v>0.12</c:v>
                </c:pt>
                <c:pt idx="1">
                  <c:v>0.12000000000000001</c:v>
                </c:pt>
                <c:pt idx="2">
                  <c:v>0.12</c:v>
                </c:pt>
                <c:pt idx="3">
                  <c:v>0.12</c:v>
                </c:pt>
                <c:pt idx="4">
                  <c:v>0.12</c:v>
                </c:pt>
              </c:numCache>
            </c:numRef>
          </c:yVal>
          <c:smooth val="0"/>
        </c:ser>
        <c:ser>
          <c:idx val="2"/>
          <c:order val="2"/>
          <c:tx>
            <c:strRef>
              <c:f>Extensions!$E$85</c:f>
              <c:strCache>
                <c:ptCount val="1"/>
                <c:pt idx="0">
                  <c:v>rd</c:v>
                </c:pt>
              </c:strCache>
            </c:strRef>
          </c:tx>
          <c:marker>
            <c:symbol val="none"/>
          </c:marker>
          <c:xVal>
            <c:numRef>
              <c:f>Extensions!$D$86:$D$90</c:f>
              <c:numCache>
                <c:formatCode>0.00%</c:formatCode>
                <c:ptCount val="5"/>
                <c:pt idx="0">
                  <c:v>0</c:v>
                </c:pt>
                <c:pt idx="1">
                  <c:v>0.25</c:v>
                </c:pt>
                <c:pt idx="2">
                  <c:v>0.5</c:v>
                </c:pt>
                <c:pt idx="3">
                  <c:v>0.75</c:v>
                </c:pt>
                <c:pt idx="4">
                  <c:v>1</c:v>
                </c:pt>
              </c:numCache>
            </c:numRef>
          </c:xVal>
          <c:yVal>
            <c:numRef>
              <c:f>Extensions!$E$86:$E$90</c:f>
              <c:numCache>
                <c:formatCode>0.00%</c:formatCode>
                <c:ptCount val="5"/>
                <c:pt idx="0">
                  <c:v>0.08</c:v>
                </c:pt>
                <c:pt idx="1">
                  <c:v>0.08</c:v>
                </c:pt>
                <c:pt idx="2">
                  <c:v>0.08</c:v>
                </c:pt>
                <c:pt idx="3">
                  <c:v>0.08</c:v>
                </c:pt>
                <c:pt idx="4">
                  <c:v>0.08</c:v>
                </c:pt>
              </c:numCache>
            </c:numRef>
          </c:yVal>
          <c:smooth val="0"/>
        </c:ser>
        <c:dLbls>
          <c:showLegendKey val="0"/>
          <c:showVal val="0"/>
          <c:showCatName val="0"/>
          <c:showSerName val="0"/>
          <c:showPercent val="0"/>
          <c:showBubbleSize val="0"/>
        </c:dLbls>
        <c:axId val="197298816"/>
        <c:axId val="197526272"/>
      </c:scatterChart>
      <c:valAx>
        <c:axId val="197298816"/>
        <c:scaling>
          <c:orientation val="minMax"/>
        </c:scaling>
        <c:delete val="0"/>
        <c:axPos val="b"/>
        <c:title>
          <c:tx>
            <c:rich>
              <a:bodyPr/>
              <a:lstStyle/>
              <a:p>
                <a:pPr>
                  <a:defRPr/>
                </a:pPr>
                <a:r>
                  <a:rPr lang="es-ES"/>
                  <a:t>Debt/Value Ratio</a:t>
                </a:r>
              </a:p>
            </c:rich>
          </c:tx>
          <c:layout>
            <c:manualLayout>
              <c:xMode val="edge"/>
              <c:yMode val="edge"/>
              <c:x val="0.35156339407194537"/>
              <c:y val="0.8918032786885246"/>
            </c:manualLayout>
          </c:layout>
          <c:overlay val="0"/>
        </c:title>
        <c:numFmt formatCode="0%" sourceLinked="0"/>
        <c:majorTickMark val="out"/>
        <c:minorTickMark val="none"/>
        <c:tickLblPos val="nextTo"/>
        <c:txPr>
          <a:bodyPr rot="0" vert="horz"/>
          <a:lstStyle/>
          <a:p>
            <a:pPr>
              <a:defRPr/>
            </a:pPr>
            <a:endParaRPr lang="es-ES"/>
          </a:p>
        </c:txPr>
        <c:crossAx val="197526272"/>
        <c:crosses val="autoZero"/>
        <c:crossBetween val="midCat"/>
      </c:valAx>
      <c:valAx>
        <c:axId val="197526272"/>
        <c:scaling>
          <c:orientation val="minMax"/>
        </c:scaling>
        <c:delete val="0"/>
        <c:axPos val="l"/>
        <c:title>
          <c:tx>
            <c:rich>
              <a:bodyPr/>
              <a:lstStyle/>
              <a:p>
                <a:pPr>
                  <a:defRPr/>
                </a:pPr>
                <a:r>
                  <a:rPr lang="es-ES"/>
                  <a:t>Cost of Capital</a:t>
                </a:r>
              </a:p>
            </c:rich>
          </c:tx>
          <c:layout>
            <c:manualLayout>
              <c:xMode val="edge"/>
              <c:yMode val="edge"/>
              <c:x val="1.3020866447109088E-2"/>
              <c:y val="0.26229508196721313"/>
            </c:manualLayout>
          </c:layout>
          <c:overlay val="0"/>
        </c:title>
        <c:numFmt formatCode="0%" sourceLinked="0"/>
        <c:majorTickMark val="out"/>
        <c:minorTickMark val="none"/>
        <c:tickLblPos val="nextTo"/>
        <c:txPr>
          <a:bodyPr rot="0" vert="horz"/>
          <a:lstStyle/>
          <a:p>
            <a:pPr>
              <a:defRPr/>
            </a:pPr>
            <a:endParaRPr lang="es-ES"/>
          </a:p>
        </c:txPr>
        <c:crossAx val="197298816"/>
        <c:crosses val="autoZero"/>
        <c:crossBetween val="midCat"/>
      </c:valAx>
    </c:plotArea>
    <c:legend>
      <c:legendPos val="r"/>
      <c:layout>
        <c:manualLayout>
          <c:xMode val="edge"/>
          <c:yMode val="edge"/>
          <c:x val="0.75781442722174897"/>
          <c:y val="0.4163934426229508"/>
          <c:w val="0.23177142275854176"/>
          <c:h val="0.20983606557377049"/>
        </c:manualLayout>
      </c:layout>
      <c:overlay val="0"/>
    </c:legend>
    <c:plotVisOnly val="1"/>
    <c:dispBlanksAs val="gap"/>
    <c:showDLblsOverMax val="0"/>
  </c:chart>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With Taxes</a:t>
            </a:r>
          </a:p>
        </c:rich>
      </c:tx>
      <c:layout>
        <c:manualLayout>
          <c:xMode val="edge"/>
          <c:yMode val="edge"/>
          <c:x val="0.37947494033412887"/>
          <c:y val="3.6423841059602648E-2"/>
        </c:manualLayout>
      </c:layout>
      <c:overlay val="0"/>
    </c:title>
    <c:autoTitleDeleted val="0"/>
    <c:plotArea>
      <c:layout>
        <c:manualLayout>
          <c:layoutTarget val="inner"/>
          <c:xMode val="edge"/>
          <c:yMode val="edge"/>
          <c:x val="0.13126491646778043"/>
          <c:y val="0.19867549668874171"/>
          <c:w val="0.6348448687350835"/>
          <c:h val="0.63576158940397354"/>
        </c:manualLayout>
      </c:layout>
      <c:scatterChart>
        <c:scatterStyle val="lineMarker"/>
        <c:varyColors val="0"/>
        <c:ser>
          <c:idx val="0"/>
          <c:order val="0"/>
          <c:tx>
            <c:strRef>
              <c:f>Extensions!$G$114</c:f>
              <c:strCache>
                <c:ptCount val="1"/>
                <c:pt idx="0">
                  <c:v>rs</c:v>
                </c:pt>
              </c:strCache>
            </c:strRef>
          </c:tx>
          <c:marker>
            <c:symbol val="none"/>
          </c:marker>
          <c:xVal>
            <c:numRef>
              <c:f>Extensions!$D$115:$D$122</c:f>
              <c:numCache>
                <c:formatCode>0.00%</c:formatCode>
                <c:ptCount val="8"/>
                <c:pt idx="0">
                  <c:v>0</c:v>
                </c:pt>
                <c:pt idx="1">
                  <c:v>0.22727272727272727</c:v>
                </c:pt>
                <c:pt idx="2">
                  <c:v>0.41666666666666669</c:v>
                </c:pt>
                <c:pt idx="3">
                  <c:v>0.57692307692307687</c:v>
                </c:pt>
                <c:pt idx="4">
                  <c:v>0.7142857142857143</c:v>
                </c:pt>
                <c:pt idx="5">
                  <c:v>0.83333333333333337</c:v>
                </c:pt>
                <c:pt idx="6">
                  <c:v>0.9375</c:v>
                </c:pt>
                <c:pt idx="7">
                  <c:v>0.99993999759990393</c:v>
                </c:pt>
              </c:numCache>
            </c:numRef>
          </c:xVal>
          <c:yVal>
            <c:numRef>
              <c:f>Extensions!$G$115:$G$122</c:f>
              <c:numCache>
                <c:formatCode>0.00%</c:formatCode>
                <c:ptCount val="8"/>
                <c:pt idx="0">
                  <c:v>0.12</c:v>
                </c:pt>
                <c:pt idx="1">
                  <c:v>0.12705882352941175</c:v>
                </c:pt>
                <c:pt idx="2">
                  <c:v>0.13714285714285712</c:v>
                </c:pt>
                <c:pt idx="3">
                  <c:v>0.15272727272727271</c:v>
                </c:pt>
                <c:pt idx="4">
                  <c:v>0.18</c:v>
                </c:pt>
                <c:pt idx="5">
                  <c:v>0.24</c:v>
                </c:pt>
                <c:pt idx="6">
                  <c:v>0.47999999999999993</c:v>
                </c:pt>
              </c:numCache>
            </c:numRef>
          </c:yVal>
          <c:smooth val="0"/>
        </c:ser>
        <c:ser>
          <c:idx val="1"/>
          <c:order val="1"/>
          <c:tx>
            <c:strRef>
              <c:f>Extensions!$H$114</c:f>
              <c:strCache>
                <c:ptCount val="1"/>
                <c:pt idx="0">
                  <c:v>WACC</c:v>
                </c:pt>
              </c:strCache>
            </c:strRef>
          </c:tx>
          <c:marker>
            <c:symbol val="none"/>
          </c:marker>
          <c:xVal>
            <c:numRef>
              <c:f>Extensions!$D$115:$D$122</c:f>
              <c:numCache>
                <c:formatCode>0.00%</c:formatCode>
                <c:ptCount val="8"/>
                <c:pt idx="0">
                  <c:v>0</c:v>
                </c:pt>
                <c:pt idx="1">
                  <c:v>0.22727272727272727</c:v>
                </c:pt>
                <c:pt idx="2">
                  <c:v>0.41666666666666669</c:v>
                </c:pt>
                <c:pt idx="3">
                  <c:v>0.57692307692307687</c:v>
                </c:pt>
                <c:pt idx="4">
                  <c:v>0.7142857142857143</c:v>
                </c:pt>
                <c:pt idx="5">
                  <c:v>0.83333333333333337</c:v>
                </c:pt>
                <c:pt idx="6">
                  <c:v>0.9375</c:v>
                </c:pt>
                <c:pt idx="7">
                  <c:v>0.99993999759990393</c:v>
                </c:pt>
              </c:numCache>
            </c:numRef>
          </c:xVal>
          <c:yVal>
            <c:numRef>
              <c:f>Extensions!$H$115:$H$122</c:f>
              <c:numCache>
                <c:formatCode>0.00%</c:formatCode>
                <c:ptCount val="8"/>
                <c:pt idx="0">
                  <c:v>0.12</c:v>
                </c:pt>
                <c:pt idx="1">
                  <c:v>0.10909090909090909</c:v>
                </c:pt>
                <c:pt idx="2">
                  <c:v>9.9999999999999992E-2</c:v>
                </c:pt>
                <c:pt idx="3">
                  <c:v>9.2307692307692285E-2</c:v>
                </c:pt>
                <c:pt idx="4">
                  <c:v>8.5714285714285715E-2</c:v>
                </c:pt>
                <c:pt idx="5">
                  <c:v>7.9999999999999988E-2</c:v>
                </c:pt>
                <c:pt idx="6">
                  <c:v>7.4999999999999997E-2</c:v>
                </c:pt>
                <c:pt idx="7">
                  <c:v>7.1999999999999995E-2</c:v>
                </c:pt>
              </c:numCache>
            </c:numRef>
          </c:yVal>
          <c:smooth val="0"/>
        </c:ser>
        <c:ser>
          <c:idx val="2"/>
          <c:order val="2"/>
          <c:tx>
            <c:strRef>
              <c:f>Extensions!$F$114</c:f>
              <c:strCache>
                <c:ptCount val="1"/>
                <c:pt idx="0">
                  <c:v>rd x (1-T)</c:v>
                </c:pt>
              </c:strCache>
            </c:strRef>
          </c:tx>
          <c:marker>
            <c:symbol val="none"/>
          </c:marker>
          <c:xVal>
            <c:numRef>
              <c:f>Extensions!$D$115:$D$122</c:f>
              <c:numCache>
                <c:formatCode>0.00%</c:formatCode>
                <c:ptCount val="8"/>
                <c:pt idx="0">
                  <c:v>0</c:v>
                </c:pt>
                <c:pt idx="1">
                  <c:v>0.22727272727272727</c:v>
                </c:pt>
                <c:pt idx="2">
                  <c:v>0.41666666666666669</c:v>
                </c:pt>
                <c:pt idx="3">
                  <c:v>0.57692307692307687</c:v>
                </c:pt>
                <c:pt idx="4">
                  <c:v>0.7142857142857143</c:v>
                </c:pt>
                <c:pt idx="5">
                  <c:v>0.83333333333333337</c:v>
                </c:pt>
                <c:pt idx="6">
                  <c:v>0.9375</c:v>
                </c:pt>
                <c:pt idx="7">
                  <c:v>0.99993999759990393</c:v>
                </c:pt>
              </c:numCache>
            </c:numRef>
          </c:xVal>
          <c:yVal>
            <c:numRef>
              <c:f>Extensions!$F$115:$F$122</c:f>
              <c:numCache>
                <c:formatCode>0.00%</c:formatCode>
                <c:ptCount val="8"/>
                <c:pt idx="0">
                  <c:v>4.8000000000000001E-2</c:v>
                </c:pt>
                <c:pt idx="1">
                  <c:v>4.8000000000000001E-2</c:v>
                </c:pt>
                <c:pt idx="2">
                  <c:v>4.8000000000000001E-2</c:v>
                </c:pt>
                <c:pt idx="3">
                  <c:v>4.8000000000000001E-2</c:v>
                </c:pt>
                <c:pt idx="4">
                  <c:v>4.8000000000000001E-2</c:v>
                </c:pt>
                <c:pt idx="5">
                  <c:v>4.8000000000000001E-2</c:v>
                </c:pt>
                <c:pt idx="6">
                  <c:v>4.8000000000000001E-2</c:v>
                </c:pt>
                <c:pt idx="7">
                  <c:v>4.8000000000000001E-2</c:v>
                </c:pt>
              </c:numCache>
            </c:numRef>
          </c:yVal>
          <c:smooth val="0"/>
        </c:ser>
        <c:dLbls>
          <c:showLegendKey val="0"/>
          <c:showVal val="0"/>
          <c:showCatName val="0"/>
          <c:showSerName val="0"/>
          <c:showPercent val="0"/>
          <c:showBubbleSize val="0"/>
        </c:dLbls>
        <c:axId val="199713152"/>
        <c:axId val="199715072"/>
      </c:scatterChart>
      <c:valAx>
        <c:axId val="199713152"/>
        <c:scaling>
          <c:orientation val="minMax"/>
          <c:max val="1"/>
        </c:scaling>
        <c:delete val="0"/>
        <c:axPos val="b"/>
        <c:title>
          <c:tx>
            <c:rich>
              <a:bodyPr/>
              <a:lstStyle/>
              <a:p>
                <a:pPr>
                  <a:defRPr/>
                </a:pPr>
                <a:r>
                  <a:rPr lang="es-ES"/>
                  <a:t>Debt/Value Ratio</a:t>
                </a:r>
              </a:p>
            </c:rich>
          </c:tx>
          <c:layout>
            <c:manualLayout>
              <c:xMode val="edge"/>
              <c:yMode val="edge"/>
              <c:x val="0.31742243436754175"/>
              <c:y val="0.91059602649006621"/>
            </c:manualLayout>
          </c:layout>
          <c:overlay val="0"/>
        </c:title>
        <c:numFmt formatCode="0%" sourceLinked="0"/>
        <c:majorTickMark val="out"/>
        <c:minorTickMark val="none"/>
        <c:tickLblPos val="nextTo"/>
        <c:txPr>
          <a:bodyPr rot="0" vert="horz"/>
          <a:lstStyle/>
          <a:p>
            <a:pPr>
              <a:defRPr/>
            </a:pPr>
            <a:endParaRPr lang="es-ES"/>
          </a:p>
        </c:txPr>
        <c:crossAx val="199715072"/>
        <c:crosses val="autoZero"/>
        <c:crossBetween val="midCat"/>
      </c:valAx>
      <c:valAx>
        <c:axId val="199715072"/>
        <c:scaling>
          <c:orientation val="minMax"/>
        </c:scaling>
        <c:delete val="0"/>
        <c:axPos val="l"/>
        <c:title>
          <c:tx>
            <c:rich>
              <a:bodyPr/>
              <a:lstStyle/>
              <a:p>
                <a:pPr>
                  <a:defRPr/>
                </a:pPr>
                <a:r>
                  <a:rPr lang="es-ES"/>
                  <a:t>Cost of Capital</a:t>
                </a:r>
              </a:p>
            </c:rich>
          </c:tx>
          <c:layout>
            <c:manualLayout>
              <c:xMode val="edge"/>
              <c:yMode val="edge"/>
              <c:x val="1.1933174224343675E-2"/>
              <c:y val="0.35761589403973509"/>
            </c:manualLayout>
          </c:layout>
          <c:overlay val="0"/>
        </c:title>
        <c:numFmt formatCode="0%" sourceLinked="0"/>
        <c:majorTickMark val="out"/>
        <c:minorTickMark val="none"/>
        <c:tickLblPos val="nextTo"/>
        <c:txPr>
          <a:bodyPr rot="0" vert="horz"/>
          <a:lstStyle/>
          <a:p>
            <a:pPr>
              <a:defRPr sz="800"/>
            </a:pPr>
            <a:endParaRPr lang="es-ES"/>
          </a:p>
        </c:txPr>
        <c:crossAx val="199713152"/>
        <c:crosses val="autoZero"/>
        <c:crossBetween val="midCat"/>
      </c:valAx>
    </c:plotArea>
    <c:legend>
      <c:legendPos val="r"/>
      <c:layout>
        <c:manualLayout>
          <c:xMode val="edge"/>
          <c:yMode val="edge"/>
          <c:x val="0.69212410501193322"/>
          <c:y val="1.9867549668874173E-2"/>
          <c:w val="0.29832935560859186"/>
          <c:h val="0.28476821192052981"/>
        </c:manualLayout>
      </c:layout>
      <c:overlay val="0"/>
    </c:legend>
    <c:plotVisOnly val="1"/>
    <c:dispBlanksAs val="gap"/>
    <c:showDLblsOverMax val="0"/>
  </c:chart>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70</xdr:row>
      <xdr:rowOff>9525</xdr:rowOff>
    </xdr:from>
    <xdr:to>
      <xdr:col>4</xdr:col>
      <xdr:colOff>276225</xdr:colOff>
      <xdr:row>90</xdr:row>
      <xdr:rowOff>38100</xdr:rowOff>
    </xdr:to>
    <xdr:graphicFrame macro="">
      <xdr:nvGraphicFramePr>
        <xdr:cNvPr id="1025"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323850</xdr:colOff>
      <xdr:row>70</xdr:row>
      <xdr:rowOff>9525</xdr:rowOff>
    </xdr:from>
    <xdr:to>
      <xdr:col>8</xdr:col>
      <xdr:colOff>581025</xdr:colOff>
      <xdr:row>90</xdr:row>
      <xdr:rowOff>47625</xdr:rowOff>
    </xdr:to>
    <xdr:graphicFrame macro="">
      <xdr:nvGraphicFramePr>
        <xdr:cNvPr id="1026"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28575</xdr:colOff>
      <xdr:row>222</xdr:row>
      <xdr:rowOff>85725</xdr:rowOff>
    </xdr:from>
    <xdr:to>
      <xdr:col>3</xdr:col>
      <xdr:colOff>247650</xdr:colOff>
      <xdr:row>225</xdr:row>
      <xdr:rowOff>152400</xdr:rowOff>
    </xdr:to>
    <xdr:sp macro="" textlink="">
      <xdr:nvSpPr>
        <xdr:cNvPr id="1037" name="Line 13"/>
        <xdr:cNvSpPr>
          <a:spLocks noChangeShapeType="1"/>
        </xdr:cNvSpPr>
      </xdr:nvSpPr>
      <xdr:spPr bwMode="auto">
        <a:xfrm>
          <a:off x="1371600" y="36937950"/>
          <a:ext cx="933450" cy="590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0</xdr:col>
      <xdr:colOff>0</xdr:colOff>
      <xdr:row>277</xdr:row>
      <xdr:rowOff>19050</xdr:rowOff>
    </xdr:from>
    <xdr:to>
      <xdr:col>6</xdr:col>
      <xdr:colOff>47625</xdr:colOff>
      <xdr:row>298</xdr:row>
      <xdr:rowOff>104775</xdr:rowOff>
    </xdr:to>
    <xdr:graphicFrame macro="">
      <xdr:nvGraphicFramePr>
        <xdr:cNvPr id="1038" name="Gráfico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57150</xdr:colOff>
      <xdr:row>109</xdr:row>
      <xdr:rowOff>152400</xdr:rowOff>
    </xdr:from>
    <xdr:to>
      <xdr:col>9</xdr:col>
      <xdr:colOff>276225</xdr:colOff>
      <xdr:row>114</xdr:row>
      <xdr:rowOff>28575</xdr:rowOff>
    </xdr:to>
    <xdr:sp macro="" textlink="">
      <xdr:nvSpPr>
        <xdr:cNvPr id="1040" name="AutoShape 16"/>
        <xdr:cNvSpPr>
          <a:spLocks/>
        </xdr:cNvSpPr>
      </xdr:nvSpPr>
      <xdr:spPr bwMode="auto">
        <a:xfrm>
          <a:off x="6305550" y="18335625"/>
          <a:ext cx="219075" cy="685800"/>
        </a:xfrm>
        <a:prstGeom prst="rightBrace">
          <a:avLst>
            <a:gd name="adj1" fmla="val 26087"/>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0</xdr:col>
      <xdr:colOff>0</xdr:colOff>
      <xdr:row>300</xdr:row>
      <xdr:rowOff>104775</xdr:rowOff>
    </xdr:from>
    <xdr:to>
      <xdr:col>5</xdr:col>
      <xdr:colOff>552450</xdr:colOff>
      <xdr:row>322</xdr:row>
      <xdr:rowOff>19050</xdr:rowOff>
    </xdr:to>
    <xdr:graphicFrame macro="">
      <xdr:nvGraphicFramePr>
        <xdr:cNvPr id="1061"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247650</xdr:colOff>
      <xdr:row>348</xdr:row>
      <xdr:rowOff>47625</xdr:rowOff>
    </xdr:from>
    <xdr:to>
      <xdr:col>7</xdr:col>
      <xdr:colOff>161925</xdr:colOff>
      <xdr:row>369</xdr:row>
      <xdr:rowOff>142875</xdr:rowOff>
    </xdr:to>
    <xdr:graphicFrame macro="">
      <xdr:nvGraphicFramePr>
        <xdr:cNvPr id="1062"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0.66667</cdr:x>
      <cdr:y>0.10458</cdr:y>
    </cdr:from>
    <cdr:to>
      <cdr:x>0.92985</cdr:x>
      <cdr:y>0.15358</cdr:y>
    </cdr:to>
    <cdr:sp macro="" textlink="">
      <cdr:nvSpPr>
        <cdr:cNvPr id="4097" name="Text Box 1"/>
        <cdr:cNvSpPr txBox="1">
          <a:spLocks xmlns:a="http://schemas.openxmlformats.org/drawingml/2006/main" noChangeArrowheads="1"/>
        </cdr:cNvSpPr>
      </cdr:nvSpPr>
      <cdr:spPr bwMode="auto">
        <a:xfrm xmlns:a="http://schemas.openxmlformats.org/drawingml/2006/main">
          <a:off x="2814205" y="370273"/>
          <a:ext cx="1110959" cy="173518"/>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s-ES" sz="800" b="0" i="0" u="none" strike="noStrike" baseline="0">
              <a:solidFill>
                <a:srgbClr val="000000"/>
              </a:solidFill>
              <a:latin typeface="+mn-lt"/>
              <a:cs typeface="Times New Roman"/>
            </a:rPr>
            <a:t>Cost of Equity</a:t>
          </a:r>
        </a:p>
      </cdr:txBody>
    </cdr:sp>
  </cdr:relSizeAnchor>
  <cdr:relSizeAnchor xmlns:cdr="http://schemas.openxmlformats.org/drawingml/2006/chartDrawing">
    <cdr:from>
      <cdr:x>0.86704</cdr:x>
      <cdr:y>0.31493</cdr:y>
    </cdr:from>
    <cdr:to>
      <cdr:x>0.97848</cdr:x>
      <cdr:y>0.366</cdr:y>
    </cdr:to>
    <cdr:sp macro="" textlink="">
      <cdr:nvSpPr>
        <cdr:cNvPr id="4098" name="Text Box 2"/>
        <cdr:cNvSpPr txBox="1">
          <a:spLocks xmlns:a="http://schemas.openxmlformats.org/drawingml/2006/main" noChangeArrowheads="1"/>
        </cdr:cNvSpPr>
      </cdr:nvSpPr>
      <cdr:spPr bwMode="auto">
        <a:xfrm xmlns:a="http://schemas.openxmlformats.org/drawingml/2006/main">
          <a:off x="3669986" y="1104082"/>
          <a:ext cx="471259" cy="17852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s-ES" sz="800" b="0" i="0" u="none" strike="noStrike" baseline="0">
              <a:solidFill>
                <a:srgbClr val="000000"/>
              </a:solidFill>
              <a:latin typeface="+mn-lt"/>
              <a:cs typeface="Times New Roman"/>
            </a:rPr>
            <a:t>WACC</a:t>
          </a:r>
        </a:p>
      </cdr:txBody>
    </cdr:sp>
  </cdr:relSizeAnchor>
  <cdr:relSizeAnchor xmlns:cdr="http://schemas.openxmlformats.org/drawingml/2006/chartDrawing">
    <cdr:from>
      <cdr:x>0.83821</cdr:x>
      <cdr:y>0.5766</cdr:y>
    </cdr:from>
    <cdr:to>
      <cdr:x>0.95502</cdr:x>
      <cdr:y>0.68336</cdr:y>
    </cdr:to>
    <cdr:sp macro="" textlink="">
      <cdr:nvSpPr>
        <cdr:cNvPr id="4099" name="Text Box 3"/>
        <cdr:cNvSpPr txBox="1">
          <a:spLocks xmlns:a="http://schemas.openxmlformats.org/drawingml/2006/main" noChangeArrowheads="1"/>
        </cdr:cNvSpPr>
      </cdr:nvSpPr>
      <cdr:spPr bwMode="auto">
        <a:xfrm xmlns:a="http://schemas.openxmlformats.org/drawingml/2006/main">
          <a:off x="3548037" y="2018796"/>
          <a:ext cx="493995" cy="37319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s-ES" sz="800" b="0" i="0" u="none" strike="noStrike" baseline="0">
              <a:solidFill>
                <a:srgbClr val="000000"/>
              </a:solidFill>
              <a:latin typeface="+mn-lt"/>
              <a:cs typeface="Times New Roman"/>
            </a:rPr>
            <a:t>After-Tax </a:t>
          </a:r>
        </a:p>
        <a:p xmlns:a="http://schemas.openxmlformats.org/drawingml/2006/main">
          <a:pPr algn="l" rtl="0">
            <a:defRPr sz="1000"/>
          </a:pPr>
          <a:r>
            <a:rPr lang="es-ES" sz="800" b="0" i="0" u="none" strike="noStrike" baseline="0">
              <a:solidFill>
                <a:srgbClr val="000000"/>
              </a:solidFill>
              <a:latin typeface="+mn-lt"/>
              <a:cs typeface="Times New Roman"/>
            </a:rPr>
            <a:t>Cost of Debt</a:t>
          </a:r>
        </a:p>
      </cdr:txBody>
    </cdr:sp>
  </cdr:relSizeAnchor>
</c:userShapes>
</file>

<file path=xl/drawings/drawing3.xml><?xml version="1.0" encoding="utf-8"?>
<c:userShapes xmlns:c="http://schemas.openxmlformats.org/drawingml/2006/chart">
  <cdr:relSizeAnchor xmlns:cdr="http://schemas.openxmlformats.org/drawingml/2006/chartDrawing">
    <cdr:from>
      <cdr:x>0.54534</cdr:x>
      <cdr:y>0.50632</cdr:y>
    </cdr:from>
    <cdr:to>
      <cdr:x>0.63405</cdr:x>
      <cdr:y>0.58877</cdr:y>
    </cdr:to>
    <cdr:sp macro="" textlink="">
      <cdr:nvSpPr>
        <cdr:cNvPr id="5121" name="Text Box 1"/>
        <cdr:cNvSpPr txBox="1">
          <a:spLocks xmlns:a="http://schemas.openxmlformats.org/drawingml/2006/main" noChangeArrowheads="1"/>
        </cdr:cNvSpPr>
      </cdr:nvSpPr>
      <cdr:spPr bwMode="auto">
        <a:xfrm xmlns:a="http://schemas.openxmlformats.org/drawingml/2006/main">
          <a:off x="2636707" y="1777940"/>
          <a:ext cx="428420" cy="288993"/>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s-ES" sz="825" b="1" i="0" u="none" strike="noStrike" baseline="0">
              <a:solidFill>
                <a:srgbClr val="000000"/>
              </a:solidFill>
              <a:latin typeface="Arial"/>
              <a:cs typeface="Arial"/>
            </a:rPr>
            <a:t>EPS</a:t>
          </a:r>
        </a:p>
      </cdr:txBody>
    </cdr:sp>
  </cdr:relSizeAnchor>
  <cdr:relSizeAnchor xmlns:cdr="http://schemas.openxmlformats.org/drawingml/2006/chartDrawing">
    <cdr:from>
      <cdr:x>0.17406</cdr:x>
      <cdr:y>0.2889</cdr:y>
    </cdr:from>
    <cdr:to>
      <cdr:x>0.26081</cdr:x>
      <cdr:y>0.35529</cdr:y>
    </cdr:to>
    <cdr:sp macro="" textlink="">
      <cdr:nvSpPr>
        <cdr:cNvPr id="5122" name="Text Box 2"/>
        <cdr:cNvSpPr txBox="1">
          <a:spLocks xmlns:a="http://schemas.openxmlformats.org/drawingml/2006/main" noChangeArrowheads="1"/>
        </cdr:cNvSpPr>
      </cdr:nvSpPr>
      <cdr:spPr bwMode="auto">
        <a:xfrm xmlns:a="http://schemas.openxmlformats.org/drawingml/2006/main">
          <a:off x="843732" y="1015816"/>
          <a:ext cx="418953" cy="23272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s-ES" sz="825" b="1" i="0" u="none" strike="noStrike" baseline="0">
              <a:solidFill>
                <a:srgbClr val="000000"/>
              </a:solidFill>
              <a:latin typeface="Arial"/>
              <a:cs typeface="Arial"/>
            </a:rPr>
            <a:t>Price</a:t>
          </a:r>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9525</xdr:colOff>
      <xdr:row>31</xdr:row>
      <xdr:rowOff>76200</xdr:rowOff>
    </xdr:from>
    <xdr:to>
      <xdr:col>3</xdr:col>
      <xdr:colOff>695325</xdr:colOff>
      <xdr:row>31</xdr:row>
      <xdr:rowOff>76200</xdr:rowOff>
    </xdr:to>
    <xdr:sp macro="" textlink="">
      <xdr:nvSpPr>
        <xdr:cNvPr id="12289" name="Line 1"/>
        <xdr:cNvSpPr>
          <a:spLocks noChangeShapeType="1"/>
        </xdr:cNvSpPr>
      </xdr:nvSpPr>
      <xdr:spPr bwMode="auto">
        <a:xfrm flipH="1">
          <a:off x="2305050" y="5372100"/>
          <a:ext cx="6858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9525</xdr:colOff>
      <xdr:row>33</xdr:row>
      <xdr:rowOff>76200</xdr:rowOff>
    </xdr:from>
    <xdr:to>
      <xdr:col>3</xdr:col>
      <xdr:colOff>695325</xdr:colOff>
      <xdr:row>33</xdr:row>
      <xdr:rowOff>76200</xdr:rowOff>
    </xdr:to>
    <xdr:sp macro="" textlink="">
      <xdr:nvSpPr>
        <xdr:cNvPr id="12290" name="Line 2"/>
        <xdr:cNvSpPr>
          <a:spLocks noChangeShapeType="1"/>
        </xdr:cNvSpPr>
      </xdr:nvSpPr>
      <xdr:spPr bwMode="auto">
        <a:xfrm flipH="1">
          <a:off x="2305050" y="5724525"/>
          <a:ext cx="6858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390525</xdr:colOff>
      <xdr:row>45</xdr:row>
      <xdr:rowOff>0</xdr:rowOff>
    </xdr:from>
    <xdr:to>
      <xdr:col>7</xdr:col>
      <xdr:colOff>571500</xdr:colOff>
      <xdr:row>52</xdr:row>
      <xdr:rowOff>57150</xdr:rowOff>
    </xdr:to>
    <xdr:sp macro="" textlink="">
      <xdr:nvSpPr>
        <xdr:cNvPr id="12291" name="Text Box 3"/>
        <xdr:cNvSpPr txBox="1">
          <a:spLocks noChangeArrowheads="1"/>
        </xdr:cNvSpPr>
      </xdr:nvSpPr>
      <xdr:spPr bwMode="auto">
        <a:xfrm>
          <a:off x="2686050" y="7629525"/>
          <a:ext cx="3343275" cy="1190625"/>
        </a:xfrm>
        <a:prstGeom prst="rect">
          <a:avLst/>
        </a:prstGeom>
        <a:solidFill>
          <a:srgbClr xmlns:mc="http://schemas.openxmlformats.org/markup-compatibility/2006" xmlns:a14="http://schemas.microsoft.com/office/drawing/2010/main" val="CCFFFF" mc:Ignorable="a14" a14:legacySpreadsheetColorIndex="41"/>
        </a:solidFill>
        <a:ln w="222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1100"/>
            </a:lnSpc>
            <a:defRPr sz="1000"/>
          </a:pPr>
          <a:r>
            <a:rPr lang="es-ES" sz="1000" b="1" i="0" u="none" strike="noStrike" baseline="0">
              <a:solidFill>
                <a:srgbClr val="000000"/>
              </a:solidFill>
              <a:latin typeface="+mn-lt"/>
              <a:cs typeface="Times New Roman"/>
            </a:rPr>
            <a:t>Notice that for the same $600,000 investment, you can get $7,500 more in annual income by forming your own portfolio of U and "home made debt" than you get from an investment in L.  MM argue that this won't persist--that investors would buy U and purchase the portfolio, driving up the price of U.  At the same time, they would sell their shares of L, driving down its price.</a:t>
          </a:r>
        </a:p>
        <a:p>
          <a:pPr algn="l" rtl="0">
            <a:defRPr sz="1000"/>
          </a:pPr>
          <a:endParaRPr lang="es-ES" sz="1000" b="1" i="0" u="none" strike="noStrike" baseline="0">
            <a:solidFill>
              <a:srgbClr val="000000"/>
            </a:solidFill>
            <a:latin typeface="+mn-lt"/>
            <a:cs typeface="Times New Roman"/>
          </a:endParaRPr>
        </a:p>
        <a:p>
          <a:pPr algn="l" rtl="0">
            <a:lnSpc>
              <a:spcPts val="1300"/>
            </a:lnSpc>
            <a:defRPr sz="1000"/>
          </a:pPr>
          <a:endParaRPr lang="es-ES" sz="1000" b="1" i="0" u="none" strike="noStrike" baseline="0">
            <a:solidFill>
              <a:srgbClr val="000000"/>
            </a:solidFill>
            <a:latin typeface="+mn-lt"/>
            <a:cs typeface="Times New Roman"/>
          </a:endParaRPr>
        </a:p>
      </xdr:txBody>
    </xdr:sp>
    <xdr:clientData/>
  </xdr:twoCellAnchor>
  <xdr:twoCellAnchor>
    <xdr:from>
      <xdr:col>5</xdr:col>
      <xdr:colOff>9525</xdr:colOff>
      <xdr:row>77</xdr:row>
      <xdr:rowOff>66675</xdr:rowOff>
    </xdr:from>
    <xdr:to>
      <xdr:col>5</xdr:col>
      <xdr:colOff>733425</xdr:colOff>
      <xdr:row>77</xdr:row>
      <xdr:rowOff>66675</xdr:rowOff>
    </xdr:to>
    <xdr:sp macro="" textlink="">
      <xdr:nvSpPr>
        <xdr:cNvPr id="12292" name="Line 4"/>
        <xdr:cNvSpPr>
          <a:spLocks noChangeShapeType="1"/>
        </xdr:cNvSpPr>
      </xdr:nvSpPr>
      <xdr:spPr bwMode="auto">
        <a:xfrm flipH="1" flipV="1">
          <a:off x="3981450" y="13049250"/>
          <a:ext cx="723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19050</xdr:colOff>
      <xdr:row>75</xdr:row>
      <xdr:rowOff>85725</xdr:rowOff>
    </xdr:from>
    <xdr:to>
      <xdr:col>5</xdr:col>
      <xdr:colOff>704850</xdr:colOff>
      <xdr:row>75</xdr:row>
      <xdr:rowOff>85725</xdr:rowOff>
    </xdr:to>
    <xdr:sp macro="" textlink="">
      <xdr:nvSpPr>
        <xdr:cNvPr id="12293" name="Line 5"/>
        <xdr:cNvSpPr>
          <a:spLocks noChangeShapeType="1"/>
        </xdr:cNvSpPr>
      </xdr:nvSpPr>
      <xdr:spPr bwMode="auto">
        <a:xfrm flipH="1">
          <a:off x="3990975" y="12715875"/>
          <a:ext cx="6858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19050</xdr:colOff>
      <xdr:row>72</xdr:row>
      <xdr:rowOff>95250</xdr:rowOff>
    </xdr:from>
    <xdr:to>
      <xdr:col>5</xdr:col>
      <xdr:colOff>685800</xdr:colOff>
      <xdr:row>72</xdr:row>
      <xdr:rowOff>95250</xdr:rowOff>
    </xdr:to>
    <xdr:sp macro="" textlink="">
      <xdr:nvSpPr>
        <xdr:cNvPr id="12294" name="Line 6"/>
        <xdr:cNvSpPr>
          <a:spLocks noChangeShapeType="1"/>
        </xdr:cNvSpPr>
      </xdr:nvSpPr>
      <xdr:spPr bwMode="auto">
        <a:xfrm flipH="1">
          <a:off x="3990975" y="12211050"/>
          <a:ext cx="6667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9525</xdr:colOff>
      <xdr:row>78</xdr:row>
      <xdr:rowOff>95250</xdr:rowOff>
    </xdr:from>
    <xdr:to>
      <xdr:col>5</xdr:col>
      <xdr:colOff>733425</xdr:colOff>
      <xdr:row>78</xdr:row>
      <xdr:rowOff>95250</xdr:rowOff>
    </xdr:to>
    <xdr:sp macro="" textlink="">
      <xdr:nvSpPr>
        <xdr:cNvPr id="12295" name="Line 7"/>
        <xdr:cNvSpPr>
          <a:spLocks noChangeShapeType="1"/>
        </xdr:cNvSpPr>
      </xdr:nvSpPr>
      <xdr:spPr bwMode="auto">
        <a:xfrm flipH="1" flipV="1">
          <a:off x="3981450" y="13249275"/>
          <a:ext cx="723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352425</xdr:colOff>
          <xdr:row>149</xdr:row>
          <xdr:rowOff>76200</xdr:rowOff>
        </xdr:from>
        <xdr:to>
          <xdr:col>7</xdr:col>
          <xdr:colOff>381000</xdr:colOff>
          <xdr:row>153</xdr:row>
          <xdr:rowOff>9525</xdr:rowOff>
        </xdr:to>
        <xdr:sp macro="" textlink="">
          <xdr:nvSpPr>
            <xdr:cNvPr id="12296" name="Object 8" hidden="1">
              <a:extLst>
                <a:ext uri="{63B3BB69-23CF-44E3-9099-C40C66FF867C}">
                  <a14:compatExt spid="_x0000_s122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155</xdr:row>
          <xdr:rowOff>95250</xdr:rowOff>
        </xdr:from>
        <xdr:to>
          <xdr:col>5</xdr:col>
          <xdr:colOff>190500</xdr:colOff>
          <xdr:row>159</xdr:row>
          <xdr:rowOff>19050</xdr:rowOff>
        </xdr:to>
        <xdr:sp macro="" textlink="">
          <xdr:nvSpPr>
            <xdr:cNvPr id="12297" name="Object 9" hidden="1">
              <a:extLst>
                <a:ext uri="{63B3BB69-23CF-44E3-9099-C40C66FF867C}">
                  <a14:compatExt spid="_x0000_s12297"/>
                </a:ext>
              </a:extLst>
            </xdr:cNvPr>
            <xdr:cNvSpPr/>
          </xdr:nvSpPr>
          <xdr:spPr>
            <a:xfrm>
              <a:off x="0" y="0"/>
              <a:ext cx="0" cy="0"/>
            </a:xfrm>
            <a:prstGeom prst="rect">
              <a:avLst/>
            </a:prstGeom>
          </xdr:spPr>
        </xdr:sp>
        <xdr:clientData/>
      </xdr:twoCellAnchor>
    </mc:Choice>
    <mc:Fallback/>
  </mc:AlternateContent>
  <xdr:twoCellAnchor>
    <xdr:from>
      <xdr:col>2</xdr:col>
      <xdr:colOff>47625</xdr:colOff>
      <xdr:row>166</xdr:row>
      <xdr:rowOff>66675</xdr:rowOff>
    </xdr:from>
    <xdr:to>
      <xdr:col>2</xdr:col>
      <xdr:colOff>676275</xdr:colOff>
      <xdr:row>166</xdr:row>
      <xdr:rowOff>66675</xdr:rowOff>
    </xdr:to>
    <xdr:sp macro="" textlink="">
      <xdr:nvSpPr>
        <xdr:cNvPr id="12298" name="Line 10"/>
        <xdr:cNvSpPr>
          <a:spLocks noChangeShapeType="1"/>
        </xdr:cNvSpPr>
      </xdr:nvSpPr>
      <xdr:spPr bwMode="auto">
        <a:xfrm flipH="1" flipV="1">
          <a:off x="1590675" y="2774632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0</xdr:col>
      <xdr:colOff>161925</xdr:colOff>
      <xdr:row>90</xdr:row>
      <xdr:rowOff>133350</xdr:rowOff>
    </xdr:from>
    <xdr:to>
      <xdr:col>4</xdr:col>
      <xdr:colOff>676275</xdr:colOff>
      <xdr:row>108</xdr:row>
      <xdr:rowOff>123825</xdr:rowOff>
    </xdr:to>
    <xdr:graphicFrame macro="">
      <xdr:nvGraphicFramePr>
        <xdr:cNvPr id="12299" name="Gráfico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66675</xdr:colOff>
      <xdr:row>125</xdr:row>
      <xdr:rowOff>19050</xdr:rowOff>
    </xdr:from>
    <xdr:to>
      <xdr:col>5</xdr:col>
      <xdr:colOff>85725</xdr:colOff>
      <xdr:row>142</xdr:row>
      <xdr:rowOff>142875</xdr:rowOff>
    </xdr:to>
    <xdr:graphicFrame macro="">
      <xdr:nvGraphicFramePr>
        <xdr:cNvPr id="12300" name="Gráfico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600075</xdr:colOff>
      <xdr:row>43</xdr:row>
      <xdr:rowOff>38100</xdr:rowOff>
    </xdr:from>
    <xdr:to>
      <xdr:col>5</xdr:col>
      <xdr:colOff>152400</xdr:colOff>
      <xdr:row>44</xdr:row>
      <xdr:rowOff>76200</xdr:rowOff>
    </xdr:to>
    <xdr:sp macro="" textlink="">
      <xdr:nvSpPr>
        <xdr:cNvPr id="12302" name="Line 14"/>
        <xdr:cNvSpPr>
          <a:spLocks noChangeShapeType="1"/>
        </xdr:cNvSpPr>
      </xdr:nvSpPr>
      <xdr:spPr bwMode="auto">
        <a:xfrm flipH="1" flipV="1">
          <a:off x="3743325" y="7343775"/>
          <a:ext cx="38100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276225</xdr:colOff>
      <xdr:row>43</xdr:row>
      <xdr:rowOff>38100</xdr:rowOff>
    </xdr:from>
    <xdr:to>
      <xdr:col>5</xdr:col>
      <xdr:colOff>447675</xdr:colOff>
      <xdr:row>44</xdr:row>
      <xdr:rowOff>85725</xdr:rowOff>
    </xdr:to>
    <xdr:sp macro="" textlink="">
      <xdr:nvSpPr>
        <xdr:cNvPr id="12303" name="Line 15"/>
        <xdr:cNvSpPr>
          <a:spLocks noChangeShapeType="1"/>
        </xdr:cNvSpPr>
      </xdr:nvSpPr>
      <xdr:spPr bwMode="auto">
        <a:xfrm flipV="1">
          <a:off x="4248150" y="7343775"/>
          <a:ext cx="17145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19050</xdr:colOff>
      <xdr:row>171</xdr:row>
      <xdr:rowOff>0</xdr:rowOff>
    </xdr:from>
    <xdr:to>
      <xdr:col>2</xdr:col>
      <xdr:colOff>742950</xdr:colOff>
      <xdr:row>171</xdr:row>
      <xdr:rowOff>0</xdr:rowOff>
    </xdr:to>
    <xdr:sp macro="" textlink="">
      <xdr:nvSpPr>
        <xdr:cNvPr id="12304" name="Line 16"/>
        <xdr:cNvSpPr>
          <a:spLocks noChangeShapeType="1"/>
        </xdr:cNvSpPr>
      </xdr:nvSpPr>
      <xdr:spPr bwMode="auto">
        <a:xfrm flipH="1" flipV="1">
          <a:off x="1562100" y="28498800"/>
          <a:ext cx="723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28575</xdr:colOff>
      <xdr:row>171</xdr:row>
      <xdr:rowOff>0</xdr:rowOff>
    </xdr:from>
    <xdr:to>
      <xdr:col>2</xdr:col>
      <xdr:colOff>714375</xdr:colOff>
      <xdr:row>171</xdr:row>
      <xdr:rowOff>0</xdr:rowOff>
    </xdr:to>
    <xdr:sp macro="" textlink="">
      <xdr:nvSpPr>
        <xdr:cNvPr id="12305" name="Line 17"/>
        <xdr:cNvSpPr>
          <a:spLocks noChangeShapeType="1"/>
        </xdr:cNvSpPr>
      </xdr:nvSpPr>
      <xdr:spPr bwMode="auto">
        <a:xfrm flipH="1">
          <a:off x="1571625" y="28498800"/>
          <a:ext cx="6858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28575</xdr:colOff>
      <xdr:row>171</xdr:row>
      <xdr:rowOff>0</xdr:rowOff>
    </xdr:from>
    <xdr:to>
      <xdr:col>2</xdr:col>
      <xdr:colOff>695325</xdr:colOff>
      <xdr:row>171</xdr:row>
      <xdr:rowOff>0</xdr:rowOff>
    </xdr:to>
    <xdr:sp macro="" textlink="">
      <xdr:nvSpPr>
        <xdr:cNvPr id="12306" name="Line 18"/>
        <xdr:cNvSpPr>
          <a:spLocks noChangeShapeType="1"/>
        </xdr:cNvSpPr>
      </xdr:nvSpPr>
      <xdr:spPr bwMode="auto">
        <a:xfrm flipH="1">
          <a:off x="1571625" y="28498800"/>
          <a:ext cx="6667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19050</xdr:colOff>
      <xdr:row>171</xdr:row>
      <xdr:rowOff>0</xdr:rowOff>
    </xdr:from>
    <xdr:to>
      <xdr:col>2</xdr:col>
      <xdr:colOff>742950</xdr:colOff>
      <xdr:row>171</xdr:row>
      <xdr:rowOff>0</xdr:rowOff>
    </xdr:to>
    <xdr:sp macro="" textlink="">
      <xdr:nvSpPr>
        <xdr:cNvPr id="12307" name="Line 19"/>
        <xdr:cNvSpPr>
          <a:spLocks noChangeShapeType="1"/>
        </xdr:cNvSpPr>
      </xdr:nvSpPr>
      <xdr:spPr bwMode="auto">
        <a:xfrm flipH="1" flipV="1">
          <a:off x="1562100" y="28498800"/>
          <a:ext cx="723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771525</xdr:colOff>
      <xdr:row>171</xdr:row>
      <xdr:rowOff>0</xdr:rowOff>
    </xdr:from>
    <xdr:to>
      <xdr:col>4</xdr:col>
      <xdr:colOff>647700</xdr:colOff>
      <xdr:row>171</xdr:row>
      <xdr:rowOff>0</xdr:rowOff>
    </xdr:to>
    <xdr:sp macro="" textlink="">
      <xdr:nvSpPr>
        <xdr:cNvPr id="12308" name="Line 20"/>
        <xdr:cNvSpPr>
          <a:spLocks noChangeShapeType="1"/>
        </xdr:cNvSpPr>
      </xdr:nvSpPr>
      <xdr:spPr bwMode="auto">
        <a:xfrm flipH="1" flipV="1">
          <a:off x="3067050" y="28498800"/>
          <a:ext cx="723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19050</xdr:colOff>
      <xdr:row>171</xdr:row>
      <xdr:rowOff>0</xdr:rowOff>
    </xdr:from>
    <xdr:to>
      <xdr:col>2</xdr:col>
      <xdr:colOff>742950</xdr:colOff>
      <xdr:row>171</xdr:row>
      <xdr:rowOff>0</xdr:rowOff>
    </xdr:to>
    <xdr:sp macro="" textlink="">
      <xdr:nvSpPr>
        <xdr:cNvPr id="12309" name="Line 21"/>
        <xdr:cNvSpPr>
          <a:spLocks noChangeShapeType="1"/>
        </xdr:cNvSpPr>
      </xdr:nvSpPr>
      <xdr:spPr bwMode="auto">
        <a:xfrm flipH="1" flipV="1">
          <a:off x="1562100" y="28498800"/>
          <a:ext cx="723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9525</xdr:colOff>
      <xdr:row>171</xdr:row>
      <xdr:rowOff>0</xdr:rowOff>
    </xdr:from>
    <xdr:to>
      <xdr:col>2</xdr:col>
      <xdr:colOff>733425</xdr:colOff>
      <xdr:row>171</xdr:row>
      <xdr:rowOff>0</xdr:rowOff>
    </xdr:to>
    <xdr:sp macro="" textlink="">
      <xdr:nvSpPr>
        <xdr:cNvPr id="12310" name="Line 22"/>
        <xdr:cNvSpPr>
          <a:spLocks noChangeShapeType="1"/>
        </xdr:cNvSpPr>
      </xdr:nvSpPr>
      <xdr:spPr bwMode="auto">
        <a:xfrm flipH="1" flipV="1">
          <a:off x="1552575" y="28498800"/>
          <a:ext cx="723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9525</xdr:colOff>
      <xdr:row>171</xdr:row>
      <xdr:rowOff>0</xdr:rowOff>
    </xdr:from>
    <xdr:to>
      <xdr:col>2</xdr:col>
      <xdr:colOff>733425</xdr:colOff>
      <xdr:row>171</xdr:row>
      <xdr:rowOff>0</xdr:rowOff>
    </xdr:to>
    <xdr:sp macro="" textlink="">
      <xdr:nvSpPr>
        <xdr:cNvPr id="12311" name="Line 23"/>
        <xdr:cNvSpPr>
          <a:spLocks noChangeShapeType="1"/>
        </xdr:cNvSpPr>
      </xdr:nvSpPr>
      <xdr:spPr bwMode="auto">
        <a:xfrm flipH="1" flipV="1">
          <a:off x="1552575" y="28498800"/>
          <a:ext cx="723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348"/>
  <sheetViews>
    <sheetView showGridLines="0" zoomScale="110" zoomScaleNormal="110" zoomScaleSheetLayoutView="100" workbookViewId="0">
      <selection activeCell="M137" sqref="M137"/>
    </sheetView>
  </sheetViews>
  <sheetFormatPr baseColWidth="10" defaultColWidth="9.33203125" defaultRowHeight="12.75" x14ac:dyDescent="0.2"/>
  <cols>
    <col min="1" max="1" width="11.83203125" style="2" customWidth="1"/>
    <col min="2" max="2" width="11.6640625" style="2" customWidth="1"/>
    <col min="3" max="3" width="12.5" style="2" customWidth="1"/>
    <col min="4" max="4" width="13" style="2" customWidth="1"/>
    <col min="5" max="5" width="11.83203125" style="2" customWidth="1"/>
    <col min="6" max="6" width="12.1640625" style="2" customWidth="1"/>
    <col min="7" max="7" width="12.83203125" style="2" customWidth="1"/>
    <col min="8" max="8" width="10.83203125" style="2" customWidth="1"/>
    <col min="9" max="9" width="12.6640625" style="2" customWidth="1"/>
    <col min="10" max="10" width="9.5" style="2" bestFit="1" customWidth="1"/>
    <col min="11" max="11" width="12.83203125" style="2" customWidth="1"/>
    <col min="12" max="12" width="13" style="2" customWidth="1"/>
    <col min="13" max="13" width="13.1640625" style="2" customWidth="1"/>
    <col min="14" max="16384" width="9.33203125" style="2"/>
  </cols>
  <sheetData>
    <row r="1" spans="1:9" x14ac:dyDescent="0.2">
      <c r="A1" s="1"/>
      <c r="E1" s="3"/>
      <c r="H1" s="4" t="s">
        <v>159</v>
      </c>
    </row>
    <row r="2" spans="1:9" x14ac:dyDescent="0.2">
      <c r="E2" s="5"/>
      <c r="I2" s="4"/>
    </row>
    <row r="3" spans="1:9" ht="15.75" x14ac:dyDescent="0.25">
      <c r="A3" s="6" t="s">
        <v>158</v>
      </c>
      <c r="B3" s="6"/>
      <c r="C3" s="6"/>
      <c r="D3" s="6"/>
      <c r="E3" s="6"/>
      <c r="F3" s="6"/>
      <c r="G3" s="6"/>
      <c r="H3" s="6"/>
      <c r="I3" s="6"/>
    </row>
    <row r="5" spans="1:9" x14ac:dyDescent="0.2">
      <c r="A5" s="7" t="s">
        <v>227</v>
      </c>
      <c r="B5" s="7"/>
      <c r="C5" s="7"/>
      <c r="D5" s="7"/>
      <c r="E5" s="7"/>
      <c r="F5" s="7"/>
      <c r="G5" s="7"/>
      <c r="H5" s="7"/>
      <c r="I5" s="7"/>
    </row>
    <row r="6" spans="1:9" x14ac:dyDescent="0.2">
      <c r="A6" s="7"/>
      <c r="B6" s="7"/>
      <c r="C6" s="7"/>
      <c r="D6" s="7"/>
      <c r="E6" s="7"/>
      <c r="F6" s="7"/>
      <c r="G6" s="7"/>
      <c r="H6" s="7"/>
      <c r="I6" s="7"/>
    </row>
    <row r="7" spans="1:9" x14ac:dyDescent="0.2">
      <c r="A7" s="7"/>
      <c r="B7" s="7"/>
      <c r="C7" s="7"/>
      <c r="D7" s="7"/>
      <c r="E7" s="7"/>
      <c r="F7" s="7"/>
      <c r="G7" s="7"/>
      <c r="H7" s="7"/>
      <c r="I7" s="7"/>
    </row>
    <row r="8" spans="1:9" x14ac:dyDescent="0.2">
      <c r="A8" s="7"/>
      <c r="B8" s="7"/>
      <c r="C8" s="7"/>
      <c r="D8" s="7"/>
      <c r="E8" s="7"/>
      <c r="F8" s="7"/>
      <c r="G8" s="7"/>
      <c r="H8" s="7"/>
      <c r="I8" s="7"/>
    </row>
    <row r="9" spans="1:9" x14ac:dyDescent="0.2">
      <c r="A9" s="7"/>
      <c r="B9" s="7"/>
      <c r="C9" s="7"/>
      <c r="D9" s="7"/>
      <c r="E9" s="7"/>
      <c r="F9" s="7"/>
      <c r="G9" s="7"/>
      <c r="H9" s="7"/>
      <c r="I9" s="7"/>
    </row>
    <row r="10" spans="1:9" x14ac:dyDescent="0.2">
      <c r="A10" s="7"/>
      <c r="B10" s="7"/>
      <c r="C10" s="7"/>
      <c r="D10" s="7"/>
      <c r="E10" s="7"/>
      <c r="F10" s="7"/>
      <c r="G10" s="7"/>
      <c r="H10" s="7"/>
      <c r="I10" s="7"/>
    </row>
    <row r="11" spans="1:9" x14ac:dyDescent="0.2">
      <c r="B11" s="8"/>
      <c r="C11" s="8"/>
      <c r="D11" s="8"/>
      <c r="E11" s="8"/>
    </row>
    <row r="12" spans="1:9" ht="15" x14ac:dyDescent="0.25">
      <c r="A12" s="9" t="s">
        <v>45</v>
      </c>
    </row>
    <row r="13" spans="1:9" x14ac:dyDescent="0.2">
      <c r="A13" s="10"/>
    </row>
    <row r="14" spans="1:9" x14ac:dyDescent="0.2">
      <c r="A14" s="11" t="s">
        <v>146</v>
      </c>
      <c r="B14" s="11"/>
      <c r="C14" s="11"/>
      <c r="D14" s="11"/>
      <c r="E14" s="11"/>
      <c r="F14" s="11"/>
      <c r="G14" s="11"/>
      <c r="H14" s="11"/>
      <c r="I14" s="11"/>
    </row>
    <row r="15" spans="1:9" x14ac:dyDescent="0.2">
      <c r="A15" s="11"/>
      <c r="B15" s="11"/>
      <c r="C15" s="11"/>
      <c r="D15" s="11"/>
      <c r="E15" s="11"/>
      <c r="F15" s="11"/>
      <c r="G15" s="11"/>
      <c r="H15" s="11"/>
      <c r="I15" s="11"/>
    </row>
    <row r="16" spans="1:9" x14ac:dyDescent="0.2">
      <c r="A16" s="11"/>
      <c r="B16" s="11"/>
      <c r="C16" s="11"/>
      <c r="D16" s="11"/>
      <c r="E16" s="11"/>
      <c r="F16" s="11"/>
      <c r="G16" s="11"/>
      <c r="H16" s="11"/>
      <c r="I16" s="11"/>
    </row>
    <row r="17" spans="1:10" x14ac:dyDescent="0.2">
      <c r="A17" s="11"/>
      <c r="B17" s="11"/>
      <c r="C17" s="11"/>
      <c r="D17" s="11"/>
      <c r="E17" s="11"/>
      <c r="F17" s="11"/>
      <c r="G17" s="11"/>
      <c r="H17" s="11"/>
      <c r="I17" s="11"/>
    </row>
    <row r="18" spans="1:10" x14ac:dyDescent="0.2">
      <c r="A18" s="11"/>
      <c r="B18" s="11"/>
      <c r="C18" s="11"/>
      <c r="D18" s="11"/>
      <c r="E18" s="11"/>
      <c r="F18" s="11"/>
      <c r="G18" s="11"/>
      <c r="H18" s="11"/>
      <c r="I18" s="11"/>
    </row>
    <row r="19" spans="1:10" x14ac:dyDescent="0.2">
      <c r="A19" s="11"/>
      <c r="B19" s="11"/>
      <c r="C19" s="11"/>
      <c r="D19" s="11"/>
      <c r="E19" s="11"/>
      <c r="F19" s="11"/>
      <c r="G19" s="11"/>
      <c r="H19" s="11"/>
      <c r="I19" s="11"/>
    </row>
    <row r="20" spans="1:10" ht="13.5" thickBot="1" x14ac:dyDescent="0.25"/>
    <row r="21" spans="1:10" x14ac:dyDescent="0.2">
      <c r="B21" s="12" t="s">
        <v>32</v>
      </c>
      <c r="C21" s="13"/>
      <c r="D21" s="14" t="s">
        <v>43</v>
      </c>
      <c r="E21" s="14" t="s">
        <v>44</v>
      </c>
      <c r="H21" s="15"/>
    </row>
    <row r="22" spans="1:10" ht="13.5" thickBot="1" x14ac:dyDescent="0.25">
      <c r="B22" s="16"/>
      <c r="C22" s="17"/>
      <c r="D22" s="18" t="s">
        <v>48</v>
      </c>
      <c r="E22" s="18" t="s">
        <v>49</v>
      </c>
      <c r="F22" s="19" t="s">
        <v>159</v>
      </c>
      <c r="G22" s="20"/>
      <c r="H22" s="20"/>
      <c r="I22" s="20"/>
      <c r="J22" s="20"/>
    </row>
    <row r="23" spans="1:10" ht="12.75" customHeight="1" x14ac:dyDescent="0.2">
      <c r="B23" s="21" t="s">
        <v>0</v>
      </c>
      <c r="C23" s="22"/>
      <c r="D23" s="23">
        <v>2</v>
      </c>
      <c r="E23" s="24">
        <v>2</v>
      </c>
      <c r="F23" s="19"/>
      <c r="G23" s="20"/>
      <c r="H23" s="20"/>
      <c r="I23" s="20"/>
      <c r="J23" s="20"/>
    </row>
    <row r="24" spans="1:10" x14ac:dyDescent="0.2">
      <c r="B24" s="21" t="s">
        <v>1</v>
      </c>
      <c r="C24" s="22"/>
      <c r="D24" s="25">
        <v>1.5</v>
      </c>
      <c r="E24" s="24">
        <v>1</v>
      </c>
      <c r="F24" s="19"/>
      <c r="G24" s="20"/>
      <c r="H24" s="20"/>
      <c r="I24" s="20"/>
      <c r="J24" s="20"/>
    </row>
    <row r="25" spans="1:10" x14ac:dyDescent="0.2">
      <c r="B25" s="21" t="s">
        <v>2</v>
      </c>
      <c r="C25" s="22"/>
      <c r="D25" s="26">
        <v>20000</v>
      </c>
      <c r="E25" s="27">
        <v>60000</v>
      </c>
      <c r="F25" s="19"/>
      <c r="G25" s="20"/>
      <c r="H25" s="20"/>
      <c r="I25" s="20"/>
      <c r="J25" s="20"/>
    </row>
    <row r="26" spans="1:10" x14ac:dyDescent="0.2">
      <c r="B26" s="21" t="s">
        <v>55</v>
      </c>
      <c r="C26" s="22"/>
      <c r="D26" s="28">
        <v>200000</v>
      </c>
      <c r="E26" s="29">
        <v>200000</v>
      </c>
      <c r="F26" s="19"/>
      <c r="G26" s="20"/>
      <c r="H26" s="20"/>
      <c r="I26" s="20"/>
      <c r="J26" s="20"/>
    </row>
    <row r="27" spans="1:10" ht="13.5" thickBot="1" x14ac:dyDescent="0.25">
      <c r="B27" s="16" t="s">
        <v>4</v>
      </c>
      <c r="C27" s="17"/>
      <c r="D27" s="30">
        <v>0.4</v>
      </c>
      <c r="E27" s="31">
        <v>0.4</v>
      </c>
      <c r="F27" s="19"/>
      <c r="G27" s="20"/>
      <c r="H27" s="20"/>
      <c r="I27" s="20"/>
      <c r="J27" s="20"/>
    </row>
    <row r="29" spans="1:10" ht="15.75" x14ac:dyDescent="0.25">
      <c r="A29" s="32" t="s">
        <v>31</v>
      </c>
    </row>
    <row r="30" spans="1:10" ht="13.5" thickBot="1" x14ac:dyDescent="0.25"/>
    <row r="31" spans="1:10" ht="13.5" thickBot="1" x14ac:dyDescent="0.25">
      <c r="C31" s="33" t="s">
        <v>47</v>
      </c>
      <c r="D31" s="34"/>
      <c r="E31" s="35"/>
    </row>
    <row r="32" spans="1:10" ht="13.5" thickBot="1" x14ac:dyDescent="0.25">
      <c r="C32" s="36"/>
      <c r="D32" s="36" t="s">
        <v>7</v>
      </c>
      <c r="E32" s="36" t="s">
        <v>9</v>
      </c>
    </row>
    <row r="33" spans="1:13" ht="13.5" thickBot="1" x14ac:dyDescent="0.25">
      <c r="A33" s="37" t="s">
        <v>5</v>
      </c>
      <c r="B33" s="38"/>
      <c r="C33" s="39" t="s">
        <v>6</v>
      </c>
      <c r="D33" s="39" t="s">
        <v>8</v>
      </c>
      <c r="E33" s="39" t="s">
        <v>10</v>
      </c>
    </row>
    <row r="34" spans="1:13" x14ac:dyDescent="0.2">
      <c r="A34" s="40" t="s">
        <v>15</v>
      </c>
      <c r="B34" s="41"/>
      <c r="C34" s="42">
        <v>0.05</v>
      </c>
      <c r="D34" s="43">
        <v>0</v>
      </c>
      <c r="E34" s="44">
        <f>D34*$D$23</f>
        <v>0</v>
      </c>
    </row>
    <row r="35" spans="1:13" x14ac:dyDescent="0.2">
      <c r="A35" s="40" t="s">
        <v>16</v>
      </c>
      <c r="B35" s="41"/>
      <c r="C35" s="45">
        <v>0.2</v>
      </c>
      <c r="D35" s="46">
        <v>40000</v>
      </c>
      <c r="E35" s="47">
        <f>D35*$D$23</f>
        <v>80000</v>
      </c>
    </row>
    <row r="36" spans="1:13" x14ac:dyDescent="0.2">
      <c r="A36" s="40" t="s">
        <v>17</v>
      </c>
      <c r="B36" s="41"/>
      <c r="C36" s="45">
        <v>0.5</v>
      </c>
      <c r="D36" s="46">
        <v>100000</v>
      </c>
      <c r="E36" s="47">
        <f>D36*$D$23</f>
        <v>200000</v>
      </c>
    </row>
    <row r="37" spans="1:13" x14ac:dyDescent="0.2">
      <c r="A37" s="40" t="s">
        <v>18</v>
      </c>
      <c r="B37" s="41"/>
      <c r="C37" s="45">
        <v>0.2</v>
      </c>
      <c r="D37" s="46">
        <v>160000</v>
      </c>
      <c r="E37" s="47">
        <f>D37*$D$23</f>
        <v>320000</v>
      </c>
    </row>
    <row r="38" spans="1:13" ht="13.5" thickBot="1" x14ac:dyDescent="0.25">
      <c r="A38" s="48" t="s">
        <v>19</v>
      </c>
      <c r="B38" s="49"/>
      <c r="C38" s="50">
        <v>0.05</v>
      </c>
      <c r="D38" s="51">
        <v>200000</v>
      </c>
      <c r="E38" s="52">
        <f>D38*$D$23</f>
        <v>400000</v>
      </c>
    </row>
    <row r="39" spans="1:13" ht="13.5" thickBot="1" x14ac:dyDescent="0.25">
      <c r="A39" s="53" t="s">
        <v>20</v>
      </c>
      <c r="B39" s="54"/>
      <c r="C39" s="55"/>
      <c r="D39" s="56">
        <f>$C$34*D34+$C$35*D35+$C$36*D36+$C$37*D37+$C$38*D38</f>
        <v>100000</v>
      </c>
      <c r="E39" s="57">
        <f>$C$34*E34+$C$35*E35+$C$36*E36+$C$37*E37+$C$38*E38</f>
        <v>200000</v>
      </c>
    </row>
    <row r="40" spans="1:13" ht="13.5" thickBot="1" x14ac:dyDescent="0.25">
      <c r="A40" s="58" t="s">
        <v>87</v>
      </c>
      <c r="B40" s="59"/>
      <c r="C40" s="60"/>
      <c r="D40" s="61">
        <f>SQRT(($C$34*(D34-D39)^2)+($C$35*(D35-D39)^2)+($C$36*(D36-D39)^2)+($C$37*(D37-D39)^2)+($C$38*(D38-D39)^2))</f>
        <v>49396.356140913878</v>
      </c>
      <c r="E40" s="62">
        <f>SQRT(($C$34*(E34-E39)^2)+($C$35*(E35-E39)^2)+($C$36*(E36-E39)^2)+($C$37*(E37-E39)^2)+($C$38*(E38-E39)^2))</f>
        <v>98792.712281827757</v>
      </c>
    </row>
    <row r="41" spans="1:13" ht="13.5" thickBot="1" x14ac:dyDescent="0.25">
      <c r="A41" s="63" t="s">
        <v>57</v>
      </c>
      <c r="B41" s="64"/>
      <c r="C41" s="65"/>
      <c r="D41" s="66">
        <f>D40/D39</f>
        <v>0.49396356140913877</v>
      </c>
      <c r="E41" s="67">
        <f>E40/E39</f>
        <v>0.49396356140913877</v>
      </c>
    </row>
    <row r="42" spans="1:13" x14ac:dyDescent="0.2">
      <c r="C42" s="68"/>
      <c r="D42" s="68"/>
      <c r="E42" s="68"/>
      <c r="F42" s="69"/>
      <c r="G42" s="69"/>
      <c r="H42" s="69"/>
      <c r="I42" s="70"/>
      <c r="J42" s="71"/>
      <c r="K42" s="71"/>
      <c r="L42" s="71"/>
      <c r="M42" s="71"/>
    </row>
    <row r="43" spans="1:13" x14ac:dyDescent="0.2">
      <c r="B43" s="69" t="s">
        <v>84</v>
      </c>
      <c r="F43" s="72" t="s">
        <v>83</v>
      </c>
      <c r="J43" s="71"/>
      <c r="K43" s="71"/>
      <c r="L43" s="71"/>
      <c r="M43" s="71"/>
    </row>
    <row r="44" spans="1:13" ht="13.5" thickBot="1" x14ac:dyDescent="0.25">
      <c r="J44" s="71"/>
      <c r="K44" s="71"/>
      <c r="L44" s="71"/>
      <c r="M44" s="71"/>
    </row>
    <row r="45" spans="1:13" ht="13.5" thickBot="1" x14ac:dyDescent="0.25">
      <c r="B45" s="73" t="s">
        <v>50</v>
      </c>
      <c r="C45" s="74"/>
      <c r="D45" s="74"/>
      <c r="E45" s="75"/>
      <c r="F45" s="76" t="s">
        <v>228</v>
      </c>
      <c r="G45" s="77"/>
      <c r="H45" s="77"/>
      <c r="I45" s="78"/>
      <c r="J45" s="71"/>
      <c r="K45" s="71"/>
      <c r="L45" s="71"/>
      <c r="M45" s="71"/>
    </row>
    <row r="46" spans="1:13" ht="13.5" thickBot="1" x14ac:dyDescent="0.25">
      <c r="B46" s="79"/>
      <c r="C46" s="79" t="s">
        <v>23</v>
      </c>
      <c r="D46" s="79" t="s">
        <v>51</v>
      </c>
      <c r="E46" s="79" t="s">
        <v>53</v>
      </c>
      <c r="F46" s="80"/>
      <c r="G46" s="80" t="s">
        <v>23</v>
      </c>
      <c r="H46" s="80" t="s">
        <v>51</v>
      </c>
      <c r="I46" s="80" t="s">
        <v>53</v>
      </c>
      <c r="J46" s="71"/>
      <c r="K46" s="71"/>
      <c r="L46" s="71"/>
      <c r="M46" s="71"/>
    </row>
    <row r="47" spans="1:13" x14ac:dyDescent="0.2">
      <c r="A47" s="36" t="s">
        <v>7</v>
      </c>
      <c r="B47" s="81" t="s">
        <v>11</v>
      </c>
      <c r="C47" s="81" t="s">
        <v>11</v>
      </c>
      <c r="D47" s="81" t="s">
        <v>52</v>
      </c>
      <c r="E47" s="81" t="s">
        <v>54</v>
      </c>
      <c r="F47" s="82" t="s">
        <v>11</v>
      </c>
      <c r="G47" s="82" t="s">
        <v>11</v>
      </c>
      <c r="H47" s="82" t="s">
        <v>52</v>
      </c>
      <c r="I47" s="82" t="s">
        <v>54</v>
      </c>
      <c r="J47" s="71"/>
      <c r="K47" s="71"/>
      <c r="L47" s="71"/>
      <c r="M47" s="71"/>
    </row>
    <row r="48" spans="1:13" ht="13.5" thickBot="1" x14ac:dyDescent="0.25">
      <c r="A48" s="39" t="s">
        <v>8</v>
      </c>
      <c r="B48" s="83" t="s">
        <v>12</v>
      </c>
      <c r="C48" s="83" t="s">
        <v>21</v>
      </c>
      <c r="D48" s="83" t="s">
        <v>56</v>
      </c>
      <c r="E48" s="83" t="s">
        <v>55</v>
      </c>
      <c r="F48" s="84" t="s">
        <v>12</v>
      </c>
      <c r="G48" s="84" t="s">
        <v>21</v>
      </c>
      <c r="H48" s="84" t="s">
        <v>56</v>
      </c>
      <c r="I48" s="84" t="s">
        <v>55</v>
      </c>
      <c r="J48" s="71"/>
      <c r="K48" s="71"/>
      <c r="L48" s="71"/>
      <c r="M48" s="71"/>
    </row>
    <row r="49" spans="1:13" x14ac:dyDescent="0.2">
      <c r="A49" s="43">
        <v>0</v>
      </c>
      <c r="B49" s="85">
        <f>D34*$D$24+$D$25</f>
        <v>20000</v>
      </c>
      <c r="C49" s="86">
        <f>E34-B49</f>
        <v>-20000</v>
      </c>
      <c r="D49" s="86">
        <f>C49*(1-$D$27)</f>
        <v>-12000</v>
      </c>
      <c r="E49" s="87">
        <f>D49/$D$26</f>
        <v>-0.06</v>
      </c>
      <c r="F49" s="88">
        <f>D34*$E$24+$E$25</f>
        <v>60000</v>
      </c>
      <c r="G49" s="89">
        <f>E34-F49</f>
        <v>-60000</v>
      </c>
      <c r="H49" s="89">
        <f>G49*(1-$E$27)</f>
        <v>-36000</v>
      </c>
      <c r="I49" s="90">
        <f>H49/$E$26</f>
        <v>-0.18</v>
      </c>
      <c r="J49" s="71"/>
      <c r="K49" s="71"/>
      <c r="L49" s="71"/>
      <c r="M49" s="71"/>
    </row>
    <row r="50" spans="1:13" x14ac:dyDescent="0.2">
      <c r="A50" s="91">
        <v>40000</v>
      </c>
      <c r="B50" s="92">
        <f>D35*$D$24+$D$25</f>
        <v>80000</v>
      </c>
      <c r="C50" s="93">
        <f>E35-B50</f>
        <v>0</v>
      </c>
      <c r="D50" s="93">
        <f>C50*(1-$D$27)</f>
        <v>0</v>
      </c>
      <c r="E50" s="94">
        <f>D50/$D$26</f>
        <v>0</v>
      </c>
      <c r="F50" s="88">
        <f>D35*$E$24+$E$25</f>
        <v>100000</v>
      </c>
      <c r="G50" s="89">
        <f>E35-F50</f>
        <v>-20000</v>
      </c>
      <c r="H50" s="89">
        <f>G50*(1-$E$27)</f>
        <v>-12000</v>
      </c>
      <c r="I50" s="90">
        <f>H50/$E$26</f>
        <v>-0.06</v>
      </c>
      <c r="J50" s="71"/>
      <c r="K50" s="71"/>
      <c r="L50" s="71"/>
      <c r="M50" s="71"/>
    </row>
    <row r="51" spans="1:13" x14ac:dyDescent="0.2">
      <c r="A51" s="46">
        <v>100000</v>
      </c>
      <c r="B51" s="85">
        <f>D36*$D$24+$D$25</f>
        <v>170000</v>
      </c>
      <c r="C51" s="95">
        <f>E36-B51</f>
        <v>30000</v>
      </c>
      <c r="D51" s="95">
        <f>C51*(1-$D$27)</f>
        <v>18000</v>
      </c>
      <c r="E51" s="87">
        <f>D51/$D$26</f>
        <v>0.09</v>
      </c>
      <c r="F51" s="88">
        <f>D36*$E$24+$E$25</f>
        <v>160000</v>
      </c>
      <c r="G51" s="96">
        <f>E36-F51</f>
        <v>40000</v>
      </c>
      <c r="H51" s="96">
        <f>G51*(1-$E$27)</f>
        <v>24000</v>
      </c>
      <c r="I51" s="90">
        <f>H51/$E$26</f>
        <v>0.12</v>
      </c>
      <c r="J51" s="71"/>
      <c r="K51" s="71"/>
      <c r="L51" s="71"/>
      <c r="M51" s="71"/>
    </row>
    <row r="52" spans="1:13" x14ac:dyDescent="0.2">
      <c r="A52" s="46">
        <v>160000</v>
      </c>
      <c r="B52" s="85">
        <f>D37*$D$24+$D$25</f>
        <v>260000</v>
      </c>
      <c r="C52" s="95">
        <f>E37-B52</f>
        <v>60000</v>
      </c>
      <c r="D52" s="95">
        <f>C52*(1-$D$27)</f>
        <v>36000</v>
      </c>
      <c r="E52" s="87">
        <f>D52/$D$26</f>
        <v>0.18</v>
      </c>
      <c r="F52" s="88">
        <f>D37*$E$24+$E$25</f>
        <v>220000</v>
      </c>
      <c r="G52" s="96">
        <f>E37-F52</f>
        <v>100000</v>
      </c>
      <c r="H52" s="96">
        <f>G52*(1-$E$27)</f>
        <v>60000</v>
      </c>
      <c r="I52" s="90">
        <f>H52/$E$26</f>
        <v>0.3</v>
      </c>
      <c r="J52" s="71"/>
      <c r="K52" s="71"/>
      <c r="L52" s="71"/>
      <c r="M52" s="71"/>
    </row>
    <row r="53" spans="1:13" ht="13.5" thickBot="1" x14ac:dyDescent="0.25">
      <c r="A53" s="51">
        <v>200000</v>
      </c>
      <c r="B53" s="85">
        <f>D38*$D$24+$D$25</f>
        <v>320000</v>
      </c>
      <c r="C53" s="95">
        <f>E38-B53</f>
        <v>80000</v>
      </c>
      <c r="D53" s="95">
        <f>C53*(1-$D$27)</f>
        <v>48000</v>
      </c>
      <c r="E53" s="87">
        <f>D53/$D$26</f>
        <v>0.24</v>
      </c>
      <c r="F53" s="88">
        <f>D38*$E$24+$E$25</f>
        <v>260000</v>
      </c>
      <c r="G53" s="96">
        <f>E38-F53</f>
        <v>140000</v>
      </c>
      <c r="H53" s="96">
        <f>G53*(1-$E$27)</f>
        <v>84000</v>
      </c>
      <c r="I53" s="90">
        <f>H53/$E$26</f>
        <v>0.42</v>
      </c>
      <c r="J53" s="71"/>
      <c r="K53" s="71"/>
      <c r="L53" s="71"/>
      <c r="M53" s="71"/>
    </row>
    <row r="54" spans="1:13" ht="16.5" thickBot="1" x14ac:dyDescent="0.3">
      <c r="A54" s="53" t="s">
        <v>85</v>
      </c>
      <c r="B54" s="97">
        <f t="shared" ref="B54:I54" si="0">$C$34*B49+$C$35*B50+$C$36*B51+$C$37*B52+$C$38*B53</f>
        <v>170000</v>
      </c>
      <c r="C54" s="98">
        <f t="shared" si="0"/>
        <v>30000</v>
      </c>
      <c r="D54" s="99">
        <f t="shared" si="0"/>
        <v>18000</v>
      </c>
      <c r="E54" s="100">
        <f t="shared" si="0"/>
        <v>8.9999999999999983E-2</v>
      </c>
      <c r="F54" s="101">
        <f t="shared" si="0"/>
        <v>160000</v>
      </c>
      <c r="G54" s="102">
        <f t="shared" si="0"/>
        <v>40000</v>
      </c>
      <c r="H54" s="103">
        <f t="shared" si="0"/>
        <v>24000</v>
      </c>
      <c r="I54" s="104">
        <f t="shared" si="0"/>
        <v>0.12000000000000001</v>
      </c>
      <c r="J54" s="71"/>
      <c r="K54" s="71"/>
      <c r="L54" s="71"/>
      <c r="M54" s="71"/>
    </row>
    <row r="55" spans="1:13" ht="19.5" thickBot="1" x14ac:dyDescent="0.35">
      <c r="A55" s="58" t="s">
        <v>88</v>
      </c>
      <c r="B55" s="85"/>
      <c r="C55" s="98">
        <f>SQRT(($C$34*(C49-C54)^2)+($C$35*(C50-C54)^2)+($C$36*(C51-C54)^2)+($C$37*(C52-C54)^2)+($C$38*(C53-C54)^2))</f>
        <v>24698.178070456939</v>
      </c>
      <c r="D55" s="95"/>
      <c r="E55" s="105">
        <f>SQRT(($C$34*(E49-E54)^2)+($C$35*(E50-E54)^2)+($C$36*(E51-E54)^2)+($C$37*(E52-E54)^2)+($C$38*(E53-E54)^2))</f>
        <v>7.4094534211370813E-2</v>
      </c>
      <c r="F55" s="88"/>
      <c r="G55" s="106">
        <f>SQRT(($C$34*(G49-G54)^2)+($C$35*(G50-G54)^2)+($C$36*(G51-G54)^2)+($C$37*(G52-G54)^2)+($C$38*(G53-G54)^2))</f>
        <v>49396.356140913878</v>
      </c>
      <c r="H55" s="96"/>
      <c r="I55" s="107">
        <f>SQRT(($C$34*(I49-I54)^2)+($C$35*(I50-I54)^2)+($C$36*(I51-I54)^2)+($C$37*(I52-I54)^2)+($C$38*(I53-I54)^2))</f>
        <v>0.14818906842274163</v>
      </c>
      <c r="J55" s="71"/>
      <c r="K55" s="71"/>
      <c r="L55" s="71"/>
      <c r="M55" s="71"/>
    </row>
    <row r="56" spans="1:13" ht="13.5" thickBot="1" x14ac:dyDescent="0.25">
      <c r="A56" s="63" t="s">
        <v>86</v>
      </c>
      <c r="B56" s="108"/>
      <c r="C56" s="109">
        <f>C55/C54</f>
        <v>0.82327260234856459</v>
      </c>
      <c r="D56" s="110"/>
      <c r="E56" s="111">
        <f>E55/E54</f>
        <v>0.8232726023485647</v>
      </c>
      <c r="F56" s="112"/>
      <c r="G56" s="113">
        <f>G55/G54</f>
        <v>1.2349089035228469</v>
      </c>
      <c r="H56" s="114"/>
      <c r="I56" s="115">
        <f>I55/I54</f>
        <v>1.2349089035228469</v>
      </c>
      <c r="J56" s="71"/>
      <c r="K56" s="71"/>
      <c r="L56" s="71"/>
      <c r="M56" s="71"/>
    </row>
    <row r="57" spans="1:13" x14ac:dyDescent="0.2">
      <c r="C57" s="68"/>
      <c r="D57" s="68"/>
      <c r="E57" s="68"/>
      <c r="F57" s="69"/>
      <c r="G57" s="69"/>
      <c r="H57" s="69"/>
      <c r="I57" s="70"/>
      <c r="J57" s="71"/>
      <c r="K57" s="71"/>
      <c r="L57" s="71"/>
      <c r="M57" s="71"/>
    </row>
    <row r="58" spans="1:13" x14ac:dyDescent="0.2">
      <c r="C58" s="68"/>
      <c r="D58" s="68"/>
      <c r="E58" s="68"/>
      <c r="F58" s="69"/>
      <c r="G58" s="69"/>
      <c r="H58" s="69"/>
      <c r="I58" s="70"/>
      <c r="J58" s="71"/>
      <c r="K58" s="71"/>
      <c r="L58" s="71"/>
      <c r="M58" s="71"/>
    </row>
    <row r="59" spans="1:13" x14ac:dyDescent="0.2">
      <c r="C59" s="68"/>
      <c r="D59" s="68"/>
      <c r="E59" s="68"/>
      <c r="F59" s="69"/>
      <c r="G59" s="69"/>
      <c r="H59" s="69"/>
      <c r="I59" s="70"/>
      <c r="J59" s="71"/>
      <c r="K59" s="71"/>
      <c r="L59" s="71"/>
      <c r="M59" s="71"/>
    </row>
    <row r="60" spans="1:13" x14ac:dyDescent="0.2">
      <c r="C60" s="68"/>
      <c r="D60" s="68"/>
      <c r="E60" s="68"/>
      <c r="F60" s="69"/>
      <c r="G60" s="69"/>
      <c r="H60" s="69"/>
      <c r="I60" s="70"/>
      <c r="J60" s="71"/>
      <c r="K60" s="71"/>
      <c r="L60" s="71"/>
      <c r="M60" s="71"/>
    </row>
    <row r="61" spans="1:13" x14ac:dyDescent="0.2">
      <c r="A61" s="11" t="s">
        <v>229</v>
      </c>
      <c r="B61" s="11"/>
      <c r="C61" s="11"/>
      <c r="D61" s="11"/>
      <c r="E61" s="11"/>
      <c r="F61" s="11"/>
      <c r="G61" s="11"/>
      <c r="H61" s="11"/>
      <c r="I61" s="11"/>
      <c r="J61" s="71"/>
      <c r="K61" s="71"/>
      <c r="L61" s="71"/>
      <c r="M61" s="71"/>
    </row>
    <row r="62" spans="1:13" x14ac:dyDescent="0.2">
      <c r="A62" s="11"/>
      <c r="B62" s="11"/>
      <c r="C62" s="11"/>
      <c r="D62" s="11"/>
      <c r="E62" s="11"/>
      <c r="F62" s="11"/>
      <c r="G62" s="11"/>
      <c r="H62" s="11"/>
      <c r="I62" s="11"/>
      <c r="J62" s="71"/>
      <c r="K62" s="71"/>
      <c r="L62" s="71"/>
      <c r="M62" s="71"/>
    </row>
    <row r="63" spans="1:13" x14ac:dyDescent="0.2">
      <c r="A63" s="11"/>
      <c r="B63" s="11"/>
      <c r="C63" s="11"/>
      <c r="D63" s="11"/>
      <c r="E63" s="11"/>
      <c r="F63" s="11"/>
      <c r="G63" s="11"/>
      <c r="H63" s="11"/>
      <c r="I63" s="11"/>
      <c r="J63" s="71"/>
      <c r="K63" s="71"/>
      <c r="L63" s="71"/>
      <c r="M63" s="71"/>
    </row>
    <row r="64" spans="1:13" x14ac:dyDescent="0.2">
      <c r="A64" s="11"/>
      <c r="B64" s="11"/>
      <c r="C64" s="11"/>
      <c r="D64" s="11"/>
      <c r="E64" s="11"/>
      <c r="F64" s="11"/>
      <c r="G64" s="11"/>
      <c r="H64" s="11"/>
      <c r="I64" s="11"/>
      <c r="J64" s="71"/>
      <c r="K64" s="71"/>
      <c r="L64" s="71"/>
      <c r="M64" s="71"/>
    </row>
    <row r="65" spans="1:13" x14ac:dyDescent="0.2">
      <c r="A65" s="116"/>
      <c r="C65" s="68"/>
      <c r="D65" s="68"/>
      <c r="E65" s="68"/>
      <c r="F65" s="69"/>
      <c r="G65" s="69"/>
      <c r="H65" s="69"/>
      <c r="I65" s="70"/>
      <c r="J65" s="71"/>
      <c r="K65" s="71"/>
      <c r="L65" s="71"/>
      <c r="M65" s="71"/>
    </row>
    <row r="66" spans="1:13" x14ac:dyDescent="0.2">
      <c r="A66" s="117" t="s">
        <v>230</v>
      </c>
      <c r="B66" s="117"/>
      <c r="C66" s="117"/>
      <c r="D66" s="117"/>
      <c r="E66" s="117"/>
      <c r="F66" s="117"/>
      <c r="G66" s="117"/>
      <c r="H66" s="117"/>
      <c r="I66" s="70"/>
      <c r="J66" s="71"/>
      <c r="K66" s="71"/>
      <c r="L66" s="71"/>
      <c r="M66" s="71"/>
    </row>
    <row r="67" spans="1:13" x14ac:dyDescent="0.2">
      <c r="A67" s="117"/>
      <c r="B67" s="117"/>
      <c r="C67" s="117"/>
      <c r="D67" s="117"/>
      <c r="E67" s="117"/>
      <c r="F67" s="117"/>
      <c r="G67" s="117"/>
      <c r="H67" s="117"/>
      <c r="I67" s="70"/>
      <c r="J67" s="71"/>
      <c r="K67" s="71"/>
      <c r="L67" s="71"/>
      <c r="M67" s="71"/>
    </row>
    <row r="68" spans="1:13" x14ac:dyDescent="0.2">
      <c r="A68" s="116"/>
      <c r="C68" s="68"/>
      <c r="D68" s="68"/>
      <c r="E68" s="68"/>
      <c r="F68" s="69"/>
      <c r="G68" s="69"/>
      <c r="H68" s="69"/>
      <c r="I68" s="70"/>
      <c r="J68" s="71"/>
      <c r="K68" s="71"/>
      <c r="L68" s="71"/>
      <c r="M68" s="71"/>
    </row>
    <row r="69" spans="1:13" x14ac:dyDescent="0.2">
      <c r="A69" s="116" t="s">
        <v>75</v>
      </c>
      <c r="C69" s="68"/>
      <c r="D69" s="68"/>
      <c r="E69" s="68"/>
      <c r="F69" s="69"/>
      <c r="G69" s="69"/>
      <c r="H69" s="69"/>
      <c r="I69" s="70"/>
      <c r="J69" s="71"/>
      <c r="K69" s="71"/>
      <c r="L69" s="71"/>
      <c r="M69" s="71"/>
    </row>
    <row r="92" spans="1:10" x14ac:dyDescent="0.2">
      <c r="A92" s="118" t="s">
        <v>147</v>
      </c>
      <c r="B92" s="118"/>
      <c r="C92" s="118"/>
      <c r="D92" s="118"/>
      <c r="E92" s="118"/>
      <c r="F92" s="118"/>
      <c r="G92" s="118"/>
      <c r="H92" s="118"/>
      <c r="I92" s="118"/>
      <c r="J92" s="116"/>
    </row>
    <row r="93" spans="1:10" x14ac:dyDescent="0.2">
      <c r="A93" s="118"/>
      <c r="B93" s="118"/>
      <c r="C93" s="118"/>
      <c r="D93" s="118"/>
      <c r="E93" s="118"/>
      <c r="F93" s="118"/>
      <c r="G93" s="118"/>
      <c r="H93" s="118"/>
      <c r="I93" s="118"/>
      <c r="J93" s="116"/>
    </row>
    <row r="94" spans="1:10" x14ac:dyDescent="0.2">
      <c r="A94" s="116"/>
      <c r="J94" s="116"/>
    </row>
    <row r="95" spans="1:10" x14ac:dyDescent="0.2">
      <c r="A95" s="11" t="s">
        <v>148</v>
      </c>
      <c r="B95" s="11"/>
      <c r="C95" s="11"/>
      <c r="D95" s="11"/>
      <c r="E95" s="11"/>
      <c r="F95" s="11"/>
      <c r="G95" s="11"/>
      <c r="H95" s="11"/>
      <c r="I95" s="11"/>
      <c r="J95" s="116"/>
    </row>
    <row r="96" spans="1:10" x14ac:dyDescent="0.2">
      <c r="A96" s="11"/>
      <c r="B96" s="11"/>
      <c r="C96" s="11"/>
      <c r="D96" s="11"/>
      <c r="E96" s="11"/>
      <c r="F96" s="11"/>
      <c r="G96" s="11"/>
      <c r="H96" s="11"/>
      <c r="I96" s="11"/>
      <c r="J96" s="116"/>
    </row>
    <row r="97" spans="1:17" x14ac:dyDescent="0.2">
      <c r="A97" s="11"/>
      <c r="B97" s="11"/>
      <c r="C97" s="11"/>
      <c r="D97" s="11"/>
      <c r="E97" s="11"/>
      <c r="F97" s="11"/>
      <c r="G97" s="11"/>
      <c r="H97" s="11"/>
      <c r="I97" s="11"/>
      <c r="J97" s="116"/>
    </row>
    <row r="98" spans="1:17" x14ac:dyDescent="0.2">
      <c r="A98" s="116"/>
    </row>
    <row r="99" spans="1:17" ht="15" customHeight="1" x14ac:dyDescent="0.25">
      <c r="B99" s="2" t="s">
        <v>231</v>
      </c>
      <c r="C99" s="119" t="s">
        <v>232</v>
      </c>
      <c r="D99" s="116" t="s">
        <v>156</v>
      </c>
    </row>
    <row r="100" spans="1:17" ht="12.75" customHeight="1" x14ac:dyDescent="0.2">
      <c r="C100" s="119"/>
      <c r="D100" s="116" t="s">
        <v>157</v>
      </c>
    </row>
    <row r="101" spans="1:17" ht="12.75" customHeight="1" x14ac:dyDescent="0.2">
      <c r="A101" s="120" t="s">
        <v>43</v>
      </c>
    </row>
    <row r="102" spans="1:17" ht="12.75" customHeight="1" x14ac:dyDescent="0.25">
      <c r="A102" s="69" t="s">
        <v>233</v>
      </c>
      <c r="B102" s="121" t="s">
        <v>33</v>
      </c>
      <c r="C102" s="122" t="s">
        <v>82</v>
      </c>
      <c r="D102" s="121" t="s">
        <v>34</v>
      </c>
      <c r="E102" s="121" t="s">
        <v>35</v>
      </c>
      <c r="F102" s="121" t="s">
        <v>36</v>
      </c>
    </row>
    <row r="103" spans="1:17" ht="12.75" customHeight="1" thickBot="1" x14ac:dyDescent="0.3">
      <c r="A103" s="69" t="s">
        <v>233</v>
      </c>
      <c r="B103" s="123">
        <f>D25</f>
        <v>20000</v>
      </c>
      <c r="C103" s="122" t="s">
        <v>82</v>
      </c>
      <c r="D103" s="124">
        <f>D23</f>
        <v>2</v>
      </c>
      <c r="E103" s="121" t="s">
        <v>35</v>
      </c>
      <c r="F103" s="124">
        <f>D24</f>
        <v>1.5</v>
      </c>
    </row>
    <row r="104" spans="1:17" ht="12.75" customHeight="1" thickBot="1" x14ac:dyDescent="0.3">
      <c r="A104" s="69" t="s">
        <v>233</v>
      </c>
      <c r="B104" s="125">
        <f>B103/(D103-F103)</f>
        <v>40000</v>
      </c>
      <c r="C104" s="126" t="s">
        <v>58</v>
      </c>
      <c r="D104" s="69"/>
      <c r="E104" s="69"/>
      <c r="F104" s="69"/>
      <c r="G104" s="127"/>
    </row>
    <row r="105" spans="1:17" ht="12.75" customHeight="1" x14ac:dyDescent="0.2">
      <c r="B105" s="127"/>
    </row>
    <row r="106" spans="1:17" ht="12.75" customHeight="1" x14ac:dyDescent="0.2">
      <c r="A106" s="128" t="s">
        <v>44</v>
      </c>
      <c r="B106" s="129"/>
      <c r="C106" s="130"/>
      <c r="D106" s="130"/>
      <c r="E106" s="130"/>
      <c r="F106" s="130"/>
    </row>
    <row r="107" spans="1:17" ht="15.75" x14ac:dyDescent="0.25">
      <c r="A107" s="130" t="s">
        <v>234</v>
      </c>
      <c r="B107" s="129" t="s">
        <v>33</v>
      </c>
      <c r="C107" s="131" t="s">
        <v>82</v>
      </c>
      <c r="D107" s="129" t="s">
        <v>34</v>
      </c>
      <c r="E107" s="129" t="s">
        <v>35</v>
      </c>
      <c r="F107" s="129" t="s">
        <v>36</v>
      </c>
    </row>
    <row r="108" spans="1:17" ht="16.5" thickBot="1" x14ac:dyDescent="0.3">
      <c r="A108" s="130" t="s">
        <v>234</v>
      </c>
      <c r="B108" s="132">
        <f>E25</f>
        <v>60000</v>
      </c>
      <c r="C108" s="131" t="s">
        <v>82</v>
      </c>
      <c r="D108" s="133">
        <f>E23</f>
        <v>2</v>
      </c>
      <c r="E108" s="129" t="s">
        <v>35</v>
      </c>
      <c r="F108" s="133">
        <f>E24</f>
        <v>1</v>
      </c>
    </row>
    <row r="109" spans="1:17" ht="15" thickBot="1" x14ac:dyDescent="0.3">
      <c r="A109" s="130" t="s">
        <v>234</v>
      </c>
      <c r="B109" s="134">
        <f>B108/(D108-F108)</f>
        <v>60000</v>
      </c>
      <c r="C109" s="135" t="s">
        <v>59</v>
      </c>
      <c r="D109" s="130"/>
      <c r="E109" s="130"/>
      <c r="F109" s="130"/>
    </row>
    <row r="110" spans="1:17" x14ac:dyDescent="0.2">
      <c r="K110" s="425" t="s">
        <v>272</v>
      </c>
      <c r="L110" s="426"/>
      <c r="M110" s="426"/>
      <c r="N110" s="426"/>
      <c r="O110" s="426"/>
      <c r="P110" s="426"/>
      <c r="Q110" s="136"/>
    </row>
    <row r="111" spans="1:17" x14ac:dyDescent="0.2">
      <c r="A111" s="11" t="s">
        <v>235</v>
      </c>
      <c r="B111" s="11"/>
      <c r="C111" s="11"/>
      <c r="D111" s="11"/>
      <c r="E111" s="11"/>
      <c r="F111" s="11"/>
      <c r="G111" s="11"/>
      <c r="H111" s="11"/>
      <c r="I111" s="11"/>
      <c r="K111" s="426"/>
      <c r="L111" s="426"/>
      <c r="M111" s="426"/>
      <c r="N111" s="426"/>
      <c r="O111" s="426"/>
      <c r="P111" s="426"/>
      <c r="Q111" s="136"/>
    </row>
    <row r="112" spans="1:17" x14ac:dyDescent="0.2">
      <c r="A112" s="11"/>
      <c r="B112" s="11"/>
      <c r="C112" s="11"/>
      <c r="D112" s="11"/>
      <c r="E112" s="11"/>
      <c r="F112" s="11"/>
      <c r="G112" s="11"/>
      <c r="H112" s="11"/>
      <c r="I112" s="11"/>
      <c r="K112" s="426" t="s">
        <v>160</v>
      </c>
      <c r="L112" s="426"/>
      <c r="M112" s="426"/>
      <c r="N112" s="426"/>
      <c r="O112" s="426"/>
      <c r="P112" s="426"/>
      <c r="Q112" s="136"/>
    </row>
    <row r="113" spans="1:17" x14ac:dyDescent="0.2">
      <c r="A113" s="11"/>
      <c r="B113" s="11"/>
      <c r="C113" s="11"/>
      <c r="D113" s="11"/>
      <c r="E113" s="11"/>
      <c r="F113" s="11"/>
      <c r="G113" s="11"/>
      <c r="H113" s="11"/>
      <c r="I113" s="11"/>
      <c r="K113" s="426"/>
      <c r="L113" s="426"/>
      <c r="M113" s="426"/>
      <c r="N113" s="426"/>
      <c r="O113" s="426"/>
      <c r="P113" s="426"/>
      <c r="Q113" s="136"/>
    </row>
    <row r="114" spans="1:17" x14ac:dyDescent="0.2">
      <c r="A114" s="11"/>
      <c r="B114" s="11"/>
      <c r="C114" s="11"/>
      <c r="D114" s="11"/>
      <c r="E114" s="11"/>
      <c r="F114" s="11"/>
      <c r="G114" s="11"/>
      <c r="H114" s="11"/>
      <c r="I114" s="11"/>
      <c r="K114" s="426" t="s">
        <v>161</v>
      </c>
      <c r="L114" s="426"/>
      <c r="M114" s="426"/>
      <c r="N114" s="426"/>
      <c r="O114" s="426"/>
      <c r="P114" s="426"/>
      <c r="Q114" s="136"/>
    </row>
    <row r="115" spans="1:17" x14ac:dyDescent="0.2">
      <c r="A115" s="11"/>
      <c r="B115" s="11"/>
      <c r="C115" s="11"/>
      <c r="D115" s="11"/>
      <c r="E115" s="11"/>
      <c r="F115" s="11"/>
      <c r="G115" s="11"/>
      <c r="H115" s="11"/>
      <c r="I115" s="11"/>
      <c r="K115" s="426"/>
      <c r="L115" s="426"/>
      <c r="M115" s="426"/>
      <c r="N115" s="426"/>
      <c r="O115" s="426"/>
      <c r="P115" s="426"/>
      <c r="Q115" s="136"/>
    </row>
    <row r="116" spans="1:17" x14ac:dyDescent="0.2">
      <c r="K116" s="426" t="s">
        <v>62</v>
      </c>
      <c r="L116" s="426"/>
      <c r="M116" s="426"/>
      <c r="N116" s="426"/>
      <c r="O116" s="426"/>
      <c r="P116" s="426"/>
      <c r="Q116" s="136"/>
    </row>
    <row r="117" spans="1:17" ht="15" x14ac:dyDescent="0.25">
      <c r="A117" s="9" t="s">
        <v>46</v>
      </c>
      <c r="K117" s="426" t="s">
        <v>63</v>
      </c>
      <c r="L117" s="426"/>
      <c r="M117" s="426"/>
      <c r="N117" s="426"/>
      <c r="O117" s="426"/>
      <c r="P117" s="426"/>
      <c r="Q117" s="136"/>
    </row>
    <row r="118" spans="1:17" x14ac:dyDescent="0.2">
      <c r="K118" s="426" t="s">
        <v>76</v>
      </c>
      <c r="L118" s="426"/>
      <c r="M118" s="426"/>
      <c r="N118" s="426"/>
      <c r="O118" s="426"/>
      <c r="P118" s="426"/>
      <c r="Q118" s="136"/>
    </row>
    <row r="119" spans="1:17" x14ac:dyDescent="0.2">
      <c r="A119" s="11" t="s">
        <v>149</v>
      </c>
      <c r="B119" s="11"/>
      <c r="C119" s="11"/>
      <c r="D119" s="11"/>
      <c r="E119" s="11"/>
      <c r="F119" s="11"/>
      <c r="G119" s="11"/>
      <c r="H119" s="11"/>
      <c r="I119" s="11"/>
      <c r="K119" s="426" t="s">
        <v>77</v>
      </c>
      <c r="L119" s="426"/>
      <c r="M119" s="426"/>
      <c r="N119" s="426"/>
      <c r="O119" s="426"/>
      <c r="P119" s="426"/>
      <c r="Q119" s="136"/>
    </row>
    <row r="120" spans="1:17" x14ac:dyDescent="0.2">
      <c r="A120" s="11"/>
      <c r="B120" s="11"/>
      <c r="C120" s="11"/>
      <c r="D120" s="11"/>
      <c r="E120" s="11"/>
      <c r="F120" s="11"/>
      <c r="G120" s="11"/>
      <c r="H120" s="11"/>
      <c r="I120" s="11"/>
      <c r="K120" s="426" t="s">
        <v>78</v>
      </c>
      <c r="L120" s="426"/>
      <c r="M120" s="426"/>
      <c r="N120" s="427">
        <v>0.25</v>
      </c>
      <c r="O120" s="426"/>
      <c r="P120" s="426"/>
      <c r="Q120" s="136"/>
    </row>
    <row r="121" spans="1:17" x14ac:dyDescent="0.2">
      <c r="A121" s="11"/>
      <c r="B121" s="11"/>
      <c r="C121" s="11"/>
      <c r="D121" s="11"/>
      <c r="E121" s="11"/>
      <c r="F121" s="11"/>
      <c r="G121" s="11"/>
      <c r="H121" s="11"/>
      <c r="I121" s="11"/>
      <c r="K121" s="428" t="s">
        <v>64</v>
      </c>
      <c r="L121" s="426"/>
      <c r="M121" s="426"/>
      <c r="N121" s="426"/>
      <c r="O121" s="426"/>
      <c r="P121" s="426"/>
      <c r="Q121" s="136"/>
    </row>
    <row r="122" spans="1:17" x14ac:dyDescent="0.2">
      <c r="A122" s="11"/>
      <c r="B122" s="11"/>
      <c r="C122" s="11"/>
      <c r="D122" s="11"/>
      <c r="E122" s="11"/>
      <c r="F122" s="11"/>
      <c r="G122" s="11"/>
      <c r="H122" s="11"/>
      <c r="I122" s="11"/>
      <c r="K122" s="426" t="s">
        <v>79</v>
      </c>
      <c r="L122" s="426"/>
      <c r="M122" s="426"/>
      <c r="N122" s="426"/>
      <c r="O122" s="426"/>
      <c r="P122" s="426"/>
      <c r="Q122" s="136"/>
    </row>
    <row r="123" spans="1:17" x14ac:dyDescent="0.2">
      <c r="A123" s="11"/>
      <c r="B123" s="11"/>
      <c r="C123" s="11"/>
      <c r="D123" s="11"/>
      <c r="E123" s="11"/>
      <c r="F123" s="11"/>
      <c r="G123" s="11"/>
      <c r="H123" s="11"/>
      <c r="I123" s="11"/>
      <c r="J123" s="116"/>
      <c r="K123" s="429" t="s">
        <v>80</v>
      </c>
      <c r="L123" s="426"/>
      <c r="M123" s="426"/>
      <c r="N123" s="426"/>
      <c r="O123" s="426"/>
      <c r="P123" s="426"/>
      <c r="Q123" s="136"/>
    </row>
    <row r="124" spans="1:17" x14ac:dyDescent="0.2">
      <c r="A124" s="11"/>
      <c r="B124" s="11"/>
      <c r="C124" s="11"/>
      <c r="D124" s="11"/>
      <c r="E124" s="11"/>
      <c r="F124" s="11"/>
      <c r="G124" s="11"/>
      <c r="H124" s="11"/>
      <c r="I124" s="11"/>
      <c r="J124" s="116"/>
      <c r="K124" s="426" t="s">
        <v>68</v>
      </c>
      <c r="L124" s="426"/>
      <c r="M124" s="426"/>
      <c r="N124" s="426"/>
      <c r="O124" s="426"/>
      <c r="P124" s="426"/>
      <c r="Q124" s="136"/>
    </row>
    <row r="125" spans="1:17" x14ac:dyDescent="0.2">
      <c r="A125" s="116"/>
      <c r="J125" s="116"/>
      <c r="K125" s="426" t="s">
        <v>65</v>
      </c>
      <c r="L125" s="430" t="s">
        <v>66</v>
      </c>
      <c r="M125" s="431">
        <v>0.75</v>
      </c>
      <c r="N125" s="426"/>
      <c r="O125" s="426"/>
      <c r="P125" s="426"/>
      <c r="Q125" s="136"/>
    </row>
    <row r="126" spans="1:17" x14ac:dyDescent="0.2">
      <c r="A126" s="11" t="s">
        <v>150</v>
      </c>
      <c r="B126" s="11"/>
      <c r="C126" s="11"/>
      <c r="D126" s="11"/>
      <c r="E126" s="11"/>
      <c r="F126" s="11"/>
      <c r="G126" s="11"/>
      <c r="H126" s="11"/>
      <c r="I126" s="11"/>
      <c r="J126" s="116"/>
      <c r="K126" s="428" t="s">
        <v>69</v>
      </c>
      <c r="L126" s="426"/>
      <c r="M126" s="426"/>
      <c r="N126" s="426"/>
      <c r="O126" s="426"/>
      <c r="P126" s="426"/>
      <c r="Q126" s="136"/>
    </row>
    <row r="127" spans="1:17" x14ac:dyDescent="0.2">
      <c r="A127" s="11"/>
      <c r="B127" s="11"/>
      <c r="C127" s="11"/>
      <c r="D127" s="11"/>
      <c r="E127" s="11"/>
      <c r="F127" s="11"/>
      <c r="G127" s="11"/>
      <c r="H127" s="11"/>
      <c r="I127" s="11"/>
      <c r="J127" s="116"/>
      <c r="K127" s="426"/>
      <c r="L127" s="426"/>
      <c r="M127" s="426"/>
      <c r="N127" s="426"/>
      <c r="O127" s="426"/>
      <c r="P127" s="426"/>
      <c r="Q127" s="136"/>
    </row>
    <row r="128" spans="1:17" x14ac:dyDescent="0.2">
      <c r="A128" s="11"/>
      <c r="B128" s="11"/>
      <c r="C128" s="11"/>
      <c r="D128" s="11"/>
      <c r="E128" s="11"/>
      <c r="F128" s="11"/>
      <c r="G128" s="11"/>
      <c r="H128" s="11"/>
      <c r="I128" s="11"/>
      <c r="J128" s="116"/>
      <c r="K128" s="426"/>
      <c r="L128" s="426" t="s">
        <v>70</v>
      </c>
      <c r="M128" s="432">
        <f>E55</f>
        <v>7.4094534211370813E-2</v>
      </c>
      <c r="N128" s="426"/>
      <c r="O128" s="426"/>
      <c r="P128" s="426"/>
      <c r="Q128" s="136"/>
    </row>
    <row r="129" spans="1:17" x14ac:dyDescent="0.2">
      <c r="A129" s="116"/>
      <c r="J129" s="116"/>
      <c r="K129" s="426"/>
      <c r="L129" s="426" t="s">
        <v>71</v>
      </c>
      <c r="M129" s="432">
        <f>I55</f>
        <v>0.14818906842274163</v>
      </c>
      <c r="N129" s="426"/>
      <c r="O129" s="426"/>
      <c r="P129" s="426"/>
      <c r="Q129" s="136"/>
    </row>
    <row r="130" spans="1:17" x14ac:dyDescent="0.2">
      <c r="A130" s="118" t="s">
        <v>128</v>
      </c>
      <c r="B130" s="118"/>
      <c r="C130" s="118"/>
      <c r="D130" s="118"/>
      <c r="E130" s="118"/>
      <c r="F130" s="118"/>
      <c r="G130" s="118"/>
      <c r="H130" s="118"/>
      <c r="J130" s="116"/>
      <c r="K130" s="428" t="s">
        <v>72</v>
      </c>
      <c r="L130" s="426"/>
      <c r="M130" s="426"/>
      <c r="N130" s="426"/>
      <c r="O130" s="426"/>
      <c r="P130" s="433"/>
      <c r="Q130" s="136"/>
    </row>
    <row r="131" spans="1:17" ht="13.5" thickBot="1" x14ac:dyDescent="0.25">
      <c r="A131" s="118"/>
      <c r="B131" s="118"/>
      <c r="C131" s="118"/>
      <c r="D131" s="118"/>
      <c r="E131" s="118"/>
      <c r="F131" s="118"/>
      <c r="G131" s="118"/>
      <c r="H131" s="118"/>
      <c r="J131" s="116"/>
      <c r="K131" s="426"/>
      <c r="L131" s="426"/>
      <c r="M131" s="426"/>
      <c r="N131" s="426"/>
      <c r="O131" s="426"/>
      <c r="P131" s="426"/>
      <c r="Q131" s="136"/>
    </row>
    <row r="132" spans="1:17" ht="13.5" thickBot="1" x14ac:dyDescent="0.25">
      <c r="A132" s="118"/>
      <c r="B132" s="118"/>
      <c r="C132" s="118"/>
      <c r="D132" s="118"/>
      <c r="E132" s="118"/>
      <c r="F132" s="118"/>
      <c r="G132" s="118"/>
      <c r="H132" s="118"/>
      <c r="J132" s="116"/>
      <c r="K132" s="426" t="s">
        <v>73</v>
      </c>
      <c r="L132" s="434">
        <f>M125*(M128/N120)</f>
        <v>0.22228360263411245</v>
      </c>
      <c r="M132" s="426"/>
      <c r="N132" s="426"/>
      <c r="O132" s="426"/>
      <c r="P132" s="426"/>
      <c r="Q132" s="136"/>
    </row>
    <row r="133" spans="1:17" ht="13.5" thickBot="1" x14ac:dyDescent="0.25">
      <c r="A133" s="118"/>
      <c r="B133" s="118"/>
      <c r="C133" s="118"/>
      <c r="D133" s="118"/>
      <c r="E133" s="118"/>
      <c r="F133" s="118"/>
      <c r="G133" s="118"/>
      <c r="H133" s="118"/>
      <c r="K133" s="426"/>
      <c r="L133" s="435"/>
      <c r="M133" s="426"/>
      <c r="N133" s="426"/>
      <c r="O133" s="426"/>
      <c r="P133" s="426"/>
      <c r="Q133" s="136"/>
    </row>
    <row r="134" spans="1:17" ht="13.5" thickBot="1" x14ac:dyDescent="0.25">
      <c r="A134" s="118"/>
      <c r="B134" s="118"/>
      <c r="C134" s="118"/>
      <c r="D134" s="118"/>
      <c r="E134" s="118"/>
      <c r="F134" s="118"/>
      <c r="G134" s="118"/>
      <c r="H134" s="118"/>
      <c r="K134" s="426" t="s">
        <v>67</v>
      </c>
      <c r="L134" s="434">
        <f>M125*(M129/N120)</f>
        <v>0.44456720526822491</v>
      </c>
      <c r="M134" s="426"/>
      <c r="N134" s="426"/>
      <c r="O134" s="426"/>
      <c r="P134" s="426"/>
      <c r="Q134" s="136"/>
    </row>
    <row r="135" spans="1:17" x14ac:dyDescent="0.2">
      <c r="A135" s="116"/>
      <c r="K135" s="426" t="s">
        <v>74</v>
      </c>
      <c r="L135" s="426"/>
      <c r="M135" s="426"/>
      <c r="N135" s="426"/>
      <c r="O135" s="426"/>
      <c r="P135" s="426"/>
      <c r="Q135" s="136"/>
    </row>
    <row r="136" spans="1:17" x14ac:dyDescent="0.2">
      <c r="A136" s="137" t="s">
        <v>114</v>
      </c>
      <c r="K136" s="426"/>
      <c r="L136" s="426"/>
      <c r="M136" s="426"/>
      <c r="N136" s="426"/>
      <c r="O136" s="426"/>
      <c r="P136" s="426"/>
      <c r="Q136" s="136"/>
    </row>
    <row r="137" spans="1:17" x14ac:dyDescent="0.2">
      <c r="A137" s="2" t="s">
        <v>3</v>
      </c>
      <c r="C137" s="138">
        <v>200000</v>
      </c>
    </row>
    <row r="138" spans="1:17" x14ac:dyDescent="0.2">
      <c r="A138" s="2" t="s">
        <v>29</v>
      </c>
      <c r="C138" s="138">
        <v>0</v>
      </c>
    </row>
    <row r="139" spans="1:17" x14ac:dyDescent="0.2">
      <c r="A139" s="2" t="s">
        <v>115</v>
      </c>
      <c r="C139" s="138">
        <v>200000</v>
      </c>
    </row>
    <row r="140" spans="1:17" x14ac:dyDescent="0.2">
      <c r="A140" s="2" t="s">
        <v>40</v>
      </c>
      <c r="C140" s="139">
        <v>10000</v>
      </c>
    </row>
    <row r="141" spans="1:17" x14ac:dyDescent="0.2">
      <c r="A141" s="2" t="s">
        <v>22</v>
      </c>
      <c r="C141" s="140">
        <f>E27</f>
        <v>0.4</v>
      </c>
    </row>
    <row r="142" spans="1:17" x14ac:dyDescent="0.2">
      <c r="C142" s="140"/>
    </row>
    <row r="143" spans="1:17" x14ac:dyDescent="0.2">
      <c r="A143" s="2" t="s">
        <v>163</v>
      </c>
      <c r="C143" s="140"/>
    </row>
    <row r="145" spans="1:11" x14ac:dyDescent="0.2">
      <c r="A145" s="10" t="s">
        <v>116</v>
      </c>
    </row>
    <row r="146" spans="1:11" x14ac:dyDescent="0.2">
      <c r="A146" s="2" t="s">
        <v>29</v>
      </c>
      <c r="C146" s="138">
        <v>0</v>
      </c>
    </row>
    <row r="147" spans="1:11" x14ac:dyDescent="0.2">
      <c r="A147" s="2" t="s">
        <v>125</v>
      </c>
      <c r="C147" s="138">
        <f>C137-C138</f>
        <v>200000</v>
      </c>
    </row>
    <row r="148" spans="1:11" x14ac:dyDescent="0.2">
      <c r="A148" s="2" t="s">
        <v>30</v>
      </c>
      <c r="C148" s="141" t="s">
        <v>117</v>
      </c>
    </row>
    <row r="149" spans="1:11" ht="13.5" thickBot="1" x14ac:dyDescent="0.25"/>
    <row r="150" spans="1:11" x14ac:dyDescent="0.2">
      <c r="A150" s="142" t="s">
        <v>118</v>
      </c>
      <c r="B150" s="143"/>
      <c r="C150" s="144"/>
      <c r="D150" s="79"/>
      <c r="E150" s="144" t="s">
        <v>23</v>
      </c>
      <c r="F150" s="79" t="s">
        <v>24</v>
      </c>
      <c r="G150" s="144" t="s">
        <v>13</v>
      </c>
      <c r="H150" s="79"/>
      <c r="I150" s="145"/>
    </row>
    <row r="151" spans="1:11" x14ac:dyDescent="0.2">
      <c r="A151" s="146" t="s">
        <v>119</v>
      </c>
      <c r="B151" s="147" t="s">
        <v>6</v>
      </c>
      <c r="C151" s="148" t="s">
        <v>25</v>
      </c>
      <c r="D151" s="81" t="s">
        <v>26</v>
      </c>
      <c r="E151" s="148" t="s">
        <v>120</v>
      </c>
      <c r="F151" s="149" t="s">
        <v>121</v>
      </c>
      <c r="G151" s="148" t="s">
        <v>120</v>
      </c>
      <c r="H151" s="81" t="s">
        <v>14</v>
      </c>
      <c r="I151" s="145"/>
    </row>
    <row r="152" spans="1:11" ht="13.5" thickBot="1" x14ac:dyDescent="0.25">
      <c r="A152" s="150" t="s">
        <v>94</v>
      </c>
      <c r="B152" s="151" t="s">
        <v>96</v>
      </c>
      <c r="C152" s="152" t="s">
        <v>97</v>
      </c>
      <c r="D152" s="153" t="s">
        <v>98</v>
      </c>
      <c r="E152" s="152" t="s">
        <v>99</v>
      </c>
      <c r="F152" s="154" t="s">
        <v>100</v>
      </c>
      <c r="G152" s="152" t="s">
        <v>101</v>
      </c>
      <c r="H152" s="153" t="s">
        <v>122</v>
      </c>
      <c r="I152" s="145"/>
    </row>
    <row r="153" spans="1:11" x14ac:dyDescent="0.2">
      <c r="A153" s="155" t="s">
        <v>15</v>
      </c>
      <c r="B153" s="147">
        <f>C34</f>
        <v>0.05</v>
      </c>
      <c r="C153" s="156">
        <f>G49</f>
        <v>-60000</v>
      </c>
      <c r="D153" s="156">
        <v>0</v>
      </c>
      <c r="E153" s="157">
        <f>C153-D153</f>
        <v>-60000</v>
      </c>
      <c r="F153" s="158">
        <f>E153*$C$141</f>
        <v>-24000</v>
      </c>
      <c r="G153" s="157">
        <f>E153-F153</f>
        <v>-36000</v>
      </c>
      <c r="H153" s="159">
        <f>G153/$C$147</f>
        <v>-0.18</v>
      </c>
      <c r="I153" s="160"/>
    </row>
    <row r="154" spans="1:11" x14ac:dyDescent="0.2">
      <c r="A154" s="155" t="s">
        <v>16</v>
      </c>
      <c r="B154" s="147">
        <f>C35</f>
        <v>0.2</v>
      </c>
      <c r="C154" s="161">
        <f>G50</f>
        <v>-20000</v>
      </c>
      <c r="D154" s="161">
        <v>0</v>
      </c>
      <c r="E154" s="161">
        <f>C154-D154</f>
        <v>-20000</v>
      </c>
      <c r="F154" s="161">
        <f>E154*$C$141</f>
        <v>-8000</v>
      </c>
      <c r="G154" s="161">
        <f>E154-F154</f>
        <v>-12000</v>
      </c>
      <c r="H154" s="162">
        <f>G154/$C$147</f>
        <v>-0.06</v>
      </c>
      <c r="I154" s="160"/>
    </row>
    <row r="155" spans="1:11" x14ac:dyDescent="0.2">
      <c r="A155" s="155" t="s">
        <v>27</v>
      </c>
      <c r="B155" s="147">
        <f>C36</f>
        <v>0.5</v>
      </c>
      <c r="C155" s="161">
        <f>G51</f>
        <v>40000</v>
      </c>
      <c r="D155" s="161">
        <v>0</v>
      </c>
      <c r="E155" s="161">
        <f>C155-D155</f>
        <v>40000</v>
      </c>
      <c r="F155" s="161">
        <f>E155*$C$141</f>
        <v>16000</v>
      </c>
      <c r="G155" s="161">
        <f>E155-F155</f>
        <v>24000</v>
      </c>
      <c r="H155" s="162">
        <f>G155/$C$147</f>
        <v>0.12</v>
      </c>
      <c r="I155" s="160"/>
    </row>
    <row r="156" spans="1:11" x14ac:dyDescent="0.2">
      <c r="A156" s="155" t="s">
        <v>28</v>
      </c>
      <c r="B156" s="147">
        <f>C37</f>
        <v>0.2</v>
      </c>
      <c r="C156" s="161">
        <f>G52</f>
        <v>100000</v>
      </c>
      <c r="D156" s="161">
        <v>0</v>
      </c>
      <c r="E156" s="161">
        <f>C156-D156</f>
        <v>100000</v>
      </c>
      <c r="F156" s="161">
        <f>E156*$C$141</f>
        <v>40000</v>
      </c>
      <c r="G156" s="161">
        <f>E156-F156</f>
        <v>60000</v>
      </c>
      <c r="H156" s="162">
        <f>G156/$C$147</f>
        <v>0.3</v>
      </c>
      <c r="I156" s="160"/>
    </row>
    <row r="157" spans="1:11" ht="13.5" thickBot="1" x14ac:dyDescent="0.25">
      <c r="A157" s="163" t="s">
        <v>19</v>
      </c>
      <c r="B157" s="164">
        <f>C38</f>
        <v>0.05</v>
      </c>
      <c r="C157" s="165">
        <f>G53</f>
        <v>140000</v>
      </c>
      <c r="D157" s="165">
        <v>0</v>
      </c>
      <c r="E157" s="165">
        <f>C157-D157</f>
        <v>140000</v>
      </c>
      <c r="F157" s="165">
        <f>E157*$C$141</f>
        <v>56000</v>
      </c>
      <c r="G157" s="165">
        <f>E157-F157</f>
        <v>84000</v>
      </c>
      <c r="H157" s="166">
        <f>G157/$C$147</f>
        <v>0.42</v>
      </c>
      <c r="I157" s="160"/>
    </row>
    <row r="158" spans="1:11" ht="13.5" thickBot="1" x14ac:dyDescent="0.25">
      <c r="A158" s="2" t="s">
        <v>126</v>
      </c>
      <c r="C158" s="167">
        <f t="shared" ref="C158:H158" si="1">C153*$B$153+C154*$B$154+C155*$B$155+C156*$B$156+C157*$B$157</f>
        <v>40000</v>
      </c>
      <c r="D158" s="167">
        <f t="shared" si="1"/>
        <v>0</v>
      </c>
      <c r="E158" s="167">
        <f t="shared" si="1"/>
        <v>40000</v>
      </c>
      <c r="F158" s="167">
        <f t="shared" si="1"/>
        <v>16000</v>
      </c>
      <c r="G158" s="167">
        <f t="shared" si="1"/>
        <v>24000</v>
      </c>
      <c r="H158" s="168">
        <f t="shared" si="1"/>
        <v>0.12000000000000001</v>
      </c>
      <c r="I158" s="169"/>
      <c r="K158" s="170"/>
    </row>
    <row r="159" spans="1:11" ht="13.5" thickBot="1" x14ac:dyDescent="0.25">
      <c r="A159" s="2" t="s">
        <v>123</v>
      </c>
      <c r="C159" s="121"/>
      <c r="D159" s="121"/>
      <c r="E159" s="121"/>
      <c r="F159" s="121"/>
      <c r="G159" s="121"/>
      <c r="H159" s="168">
        <f>SQRT(($B$153*(H153-H158)^2)+($B$154*(H154-H158)^2)+($B$155*(H155-H158)^2)+($B$156*(H156-H158)^2)+($B$157*(H157-H158)^2))</f>
        <v>0.14818906842274163</v>
      </c>
      <c r="I159" s="169"/>
      <c r="J159" s="171"/>
    </row>
    <row r="160" spans="1:11" ht="13.5" thickBot="1" x14ac:dyDescent="0.25">
      <c r="A160" s="2" t="s">
        <v>124</v>
      </c>
      <c r="C160" s="121"/>
      <c r="D160" s="121"/>
      <c r="E160" s="121"/>
      <c r="F160" s="121"/>
      <c r="G160" s="121"/>
      <c r="H160" s="111">
        <f>H159/H158</f>
        <v>1.2349089035228469</v>
      </c>
      <c r="I160" s="172"/>
    </row>
    <row r="162" spans="1:11" x14ac:dyDescent="0.2">
      <c r="A162" s="10" t="s">
        <v>145</v>
      </c>
    </row>
    <row r="163" spans="1:11" x14ac:dyDescent="0.2">
      <c r="A163" s="2" t="s">
        <v>29</v>
      </c>
      <c r="C163" s="138">
        <v>100000</v>
      </c>
    </row>
    <row r="164" spans="1:11" x14ac:dyDescent="0.2">
      <c r="A164" s="2" t="s">
        <v>125</v>
      </c>
      <c r="C164" s="138">
        <f>C137-C163</f>
        <v>100000</v>
      </c>
    </row>
    <row r="165" spans="1:11" x14ac:dyDescent="0.2">
      <c r="A165" s="2" t="s">
        <v>30</v>
      </c>
      <c r="C165" s="140">
        <v>0.1</v>
      </c>
    </row>
    <row r="166" spans="1:11" ht="13.5" thickBot="1" x14ac:dyDescent="0.25"/>
    <row r="167" spans="1:11" x14ac:dyDescent="0.2">
      <c r="A167" s="142" t="s">
        <v>118</v>
      </c>
      <c r="B167" s="143"/>
      <c r="C167" s="173"/>
      <c r="D167" s="174"/>
      <c r="E167" s="173" t="s">
        <v>23</v>
      </c>
      <c r="F167" s="174" t="s">
        <v>24</v>
      </c>
      <c r="G167" s="173" t="s">
        <v>13</v>
      </c>
      <c r="H167" s="174"/>
      <c r="I167" s="175"/>
    </row>
    <row r="168" spans="1:11" x14ac:dyDescent="0.2">
      <c r="A168" s="146" t="s">
        <v>119</v>
      </c>
      <c r="B168" s="147" t="s">
        <v>6</v>
      </c>
      <c r="C168" s="176" t="s">
        <v>25</v>
      </c>
      <c r="D168" s="177" t="s">
        <v>26</v>
      </c>
      <c r="E168" s="176" t="s">
        <v>120</v>
      </c>
      <c r="F168" s="178" t="s">
        <v>121</v>
      </c>
      <c r="G168" s="176" t="s">
        <v>120</v>
      </c>
      <c r="H168" s="177" t="s">
        <v>14</v>
      </c>
      <c r="I168" s="145"/>
    </row>
    <row r="169" spans="1:11" ht="13.5" thickBot="1" x14ac:dyDescent="0.25">
      <c r="A169" s="150" t="s">
        <v>94</v>
      </c>
      <c r="B169" s="151" t="s">
        <v>96</v>
      </c>
      <c r="C169" s="179" t="s">
        <v>97</v>
      </c>
      <c r="D169" s="180" t="s">
        <v>98</v>
      </c>
      <c r="E169" s="179" t="s">
        <v>99</v>
      </c>
      <c r="F169" s="181" t="s">
        <v>100</v>
      </c>
      <c r="G169" s="179" t="s">
        <v>101</v>
      </c>
      <c r="H169" s="180" t="s">
        <v>122</v>
      </c>
      <c r="I169" s="145"/>
    </row>
    <row r="170" spans="1:11" x14ac:dyDescent="0.2">
      <c r="A170" s="182" t="s">
        <v>15</v>
      </c>
      <c r="B170" s="147">
        <f>C34</f>
        <v>0.05</v>
      </c>
      <c r="C170" s="183">
        <f>G49</f>
        <v>-60000</v>
      </c>
      <c r="D170" s="183">
        <f>$C$163*$C$165</f>
        <v>10000</v>
      </c>
      <c r="E170" s="183">
        <f>C170-D170</f>
        <v>-70000</v>
      </c>
      <c r="F170" s="183">
        <f>E170*$C$141</f>
        <v>-28000</v>
      </c>
      <c r="G170" s="184">
        <f>E170-F170</f>
        <v>-42000</v>
      </c>
      <c r="H170" s="185">
        <f>G170/$C$164</f>
        <v>-0.42</v>
      </c>
      <c r="I170" s="160"/>
    </row>
    <row r="171" spans="1:11" x14ac:dyDescent="0.2">
      <c r="A171" s="182" t="s">
        <v>16</v>
      </c>
      <c r="B171" s="147">
        <f>C35</f>
        <v>0.2</v>
      </c>
      <c r="C171" s="186">
        <f>G50</f>
        <v>-20000</v>
      </c>
      <c r="D171" s="186">
        <f>$C$163*$C$165</f>
        <v>10000</v>
      </c>
      <c r="E171" s="186">
        <f>C171-D171</f>
        <v>-30000</v>
      </c>
      <c r="F171" s="186">
        <f>E171*$C$141</f>
        <v>-12000</v>
      </c>
      <c r="G171" s="187">
        <f>E171-F171</f>
        <v>-18000</v>
      </c>
      <c r="H171" s="188">
        <f>G171/$C$164</f>
        <v>-0.18</v>
      </c>
      <c r="I171" s="160"/>
    </row>
    <row r="172" spans="1:11" x14ac:dyDescent="0.2">
      <c r="A172" s="182" t="s">
        <v>27</v>
      </c>
      <c r="B172" s="147">
        <f>C36</f>
        <v>0.5</v>
      </c>
      <c r="C172" s="186">
        <f>G51</f>
        <v>40000</v>
      </c>
      <c r="D172" s="186">
        <f>$C$163*$C$165</f>
        <v>10000</v>
      </c>
      <c r="E172" s="186">
        <f>C172-D172</f>
        <v>30000</v>
      </c>
      <c r="F172" s="186">
        <f>E172*$C$141</f>
        <v>12000</v>
      </c>
      <c r="G172" s="187">
        <f>E172-F172</f>
        <v>18000</v>
      </c>
      <c r="H172" s="188">
        <f>G172/$C$164</f>
        <v>0.18</v>
      </c>
      <c r="I172" s="160"/>
    </row>
    <row r="173" spans="1:11" x14ac:dyDescent="0.2">
      <c r="A173" s="182" t="s">
        <v>28</v>
      </c>
      <c r="B173" s="147">
        <f>C37</f>
        <v>0.2</v>
      </c>
      <c r="C173" s="186">
        <f>G52</f>
        <v>100000</v>
      </c>
      <c r="D173" s="186">
        <f>$C$163*$C$165</f>
        <v>10000</v>
      </c>
      <c r="E173" s="186">
        <f>C173-D173</f>
        <v>90000</v>
      </c>
      <c r="F173" s="186">
        <f>E173*$C$141</f>
        <v>36000</v>
      </c>
      <c r="G173" s="187">
        <f>E173-F173</f>
        <v>54000</v>
      </c>
      <c r="H173" s="188">
        <f>G173/$C$164</f>
        <v>0.54</v>
      </c>
      <c r="I173" s="160"/>
    </row>
    <row r="174" spans="1:11" ht="13.5" thickBot="1" x14ac:dyDescent="0.25">
      <c r="A174" s="189" t="s">
        <v>19</v>
      </c>
      <c r="B174" s="164">
        <f>C38</f>
        <v>0.05</v>
      </c>
      <c r="C174" s="190">
        <f>G53</f>
        <v>140000</v>
      </c>
      <c r="D174" s="190">
        <f>$C$163*$C$165</f>
        <v>10000</v>
      </c>
      <c r="E174" s="190">
        <f>C174-D174</f>
        <v>130000</v>
      </c>
      <c r="F174" s="190">
        <f>E174*$C$141</f>
        <v>52000</v>
      </c>
      <c r="G174" s="191">
        <f>E174-F174</f>
        <v>78000</v>
      </c>
      <c r="H174" s="192">
        <f>G174/$C$164</f>
        <v>0.78</v>
      </c>
      <c r="I174" s="160"/>
    </row>
    <row r="175" spans="1:11" ht="13.5" thickBot="1" x14ac:dyDescent="0.25">
      <c r="A175" s="2" t="s">
        <v>126</v>
      </c>
      <c r="C175" s="193">
        <f t="shared" ref="C175:H175" si="2">C170*$B$170+C171*$B$171+C172*$B$172+C173*$B$173+C174*$B$174</f>
        <v>40000</v>
      </c>
      <c r="D175" s="193">
        <f t="shared" si="2"/>
        <v>10000</v>
      </c>
      <c r="E175" s="193">
        <f t="shared" si="2"/>
        <v>30000</v>
      </c>
      <c r="F175" s="193">
        <f t="shared" si="2"/>
        <v>12000</v>
      </c>
      <c r="G175" s="193">
        <f t="shared" si="2"/>
        <v>18000</v>
      </c>
      <c r="H175" s="168">
        <f t="shared" si="2"/>
        <v>0.18000000000000002</v>
      </c>
      <c r="I175" s="169"/>
    </row>
    <row r="176" spans="1:11" ht="13.5" thickBot="1" x14ac:dyDescent="0.25">
      <c r="A176" s="2" t="s">
        <v>123</v>
      </c>
      <c r="C176" s="121"/>
      <c r="D176" s="121"/>
      <c r="E176" s="121"/>
      <c r="F176" s="121"/>
      <c r="G176" s="121"/>
      <c r="H176" s="168">
        <f>SQRT(($B$153*(H170-H175)^2)+($B$154*(H171-H175)^2)+($B$155*(H172-H175)^2)+($B$156*(H173-H175)^2)+($B$157*(H174-H175)^2))</f>
        <v>0.29637813684548325</v>
      </c>
      <c r="I176" s="169"/>
      <c r="J176" s="194"/>
      <c r="K176" s="194"/>
    </row>
    <row r="177" spans="1:19" ht="13.5" thickBot="1" x14ac:dyDescent="0.25">
      <c r="A177" s="2" t="s">
        <v>124</v>
      </c>
      <c r="C177" s="121"/>
      <c r="D177" s="121"/>
      <c r="E177" s="121"/>
      <c r="F177" s="121"/>
      <c r="G177" s="121"/>
      <c r="H177" s="111">
        <f>H176/H175</f>
        <v>1.646545204697129</v>
      </c>
      <c r="I177" s="172"/>
    </row>
    <row r="179" spans="1:19" x14ac:dyDescent="0.2">
      <c r="A179" s="11" t="s">
        <v>151</v>
      </c>
      <c r="B179" s="11"/>
      <c r="C179" s="11"/>
      <c r="D179" s="11"/>
      <c r="E179" s="11"/>
      <c r="F179" s="11"/>
      <c r="G179" s="11"/>
      <c r="H179" s="11"/>
      <c r="I179" s="11"/>
    </row>
    <row r="180" spans="1:19" x14ac:dyDescent="0.2">
      <c r="A180" s="11"/>
      <c r="B180" s="11"/>
      <c r="C180" s="11"/>
      <c r="D180" s="11"/>
      <c r="E180" s="11"/>
      <c r="F180" s="11"/>
      <c r="G180" s="11"/>
      <c r="H180" s="11"/>
      <c r="I180" s="11"/>
    </row>
    <row r="181" spans="1:19" x14ac:dyDescent="0.2">
      <c r="A181" s="11"/>
      <c r="B181" s="11"/>
      <c r="C181" s="11"/>
      <c r="D181" s="11"/>
      <c r="E181" s="11"/>
      <c r="F181" s="11"/>
      <c r="G181" s="11"/>
      <c r="H181" s="11"/>
      <c r="I181" s="11"/>
    </row>
    <row r="182" spans="1:19" x14ac:dyDescent="0.2">
      <c r="A182" s="11"/>
      <c r="B182" s="11"/>
      <c r="C182" s="11"/>
      <c r="D182" s="11"/>
      <c r="E182" s="11"/>
      <c r="F182" s="11"/>
      <c r="G182" s="11"/>
      <c r="H182" s="11"/>
      <c r="I182" s="11"/>
      <c r="J182" s="175"/>
      <c r="K182" s="175"/>
      <c r="L182" s="175"/>
      <c r="M182" s="175"/>
    </row>
    <row r="184" spans="1:19" ht="15" x14ac:dyDescent="0.25">
      <c r="A184" s="9" t="s">
        <v>38</v>
      </c>
      <c r="B184" s="195"/>
      <c r="C184" s="196"/>
      <c r="D184" s="196"/>
      <c r="E184" s="197"/>
    </row>
    <row r="186" spans="1:19" x14ac:dyDescent="0.2">
      <c r="A186" s="118" t="s">
        <v>127</v>
      </c>
      <c r="B186" s="118"/>
      <c r="C186" s="118"/>
      <c r="D186" s="118"/>
      <c r="E186" s="118"/>
      <c r="F186" s="118"/>
      <c r="G186" s="118"/>
      <c r="H186" s="118"/>
      <c r="K186" s="116"/>
      <c r="R186" s="198"/>
      <c r="S186" s="199"/>
    </row>
    <row r="187" spans="1:19" x14ac:dyDescent="0.2">
      <c r="A187" s="118"/>
      <c r="B187" s="118"/>
      <c r="C187" s="118"/>
      <c r="D187" s="118"/>
      <c r="E187" s="118"/>
      <c r="F187" s="118"/>
      <c r="G187" s="118"/>
      <c r="H187" s="118"/>
      <c r="K187" s="116"/>
    </row>
    <row r="188" spans="1:19" x14ac:dyDescent="0.2">
      <c r="A188" s="118"/>
      <c r="B188" s="118"/>
      <c r="C188" s="118"/>
      <c r="D188" s="118"/>
      <c r="E188" s="118"/>
      <c r="F188" s="118"/>
      <c r="G188" s="118"/>
      <c r="H188" s="118"/>
      <c r="K188" s="116"/>
    </row>
    <row r="189" spans="1:19" x14ac:dyDescent="0.2">
      <c r="A189" s="118"/>
      <c r="B189" s="118"/>
      <c r="C189" s="118"/>
      <c r="D189" s="118"/>
      <c r="E189" s="118"/>
      <c r="F189" s="118"/>
      <c r="G189" s="118"/>
      <c r="H189" s="118"/>
      <c r="K189" s="116"/>
    </row>
    <row r="190" spans="1:19" x14ac:dyDescent="0.2">
      <c r="A190" s="118"/>
      <c r="B190" s="118"/>
      <c r="C190" s="118"/>
      <c r="D190" s="118"/>
      <c r="E190" s="118"/>
      <c r="F190" s="118"/>
      <c r="G190" s="118"/>
      <c r="H190" s="118"/>
      <c r="K190" s="116"/>
    </row>
    <row r="191" spans="1:19" x14ac:dyDescent="0.2">
      <c r="A191" s="118"/>
      <c r="B191" s="118"/>
      <c r="C191" s="118"/>
      <c r="D191" s="118"/>
      <c r="E191" s="118"/>
      <c r="F191" s="118"/>
      <c r="G191" s="118"/>
      <c r="H191" s="118"/>
      <c r="K191" s="116"/>
    </row>
    <row r="192" spans="1:19" x14ac:dyDescent="0.2">
      <c r="A192" s="116"/>
      <c r="K192" s="116"/>
    </row>
    <row r="193" spans="1:11" x14ac:dyDescent="0.2">
      <c r="A193" s="11" t="s">
        <v>152</v>
      </c>
      <c r="B193" s="11"/>
      <c r="C193" s="11"/>
      <c r="D193" s="11"/>
      <c r="E193" s="11"/>
      <c r="F193" s="11"/>
      <c r="G193" s="11"/>
      <c r="H193" s="11"/>
      <c r="I193" s="11"/>
      <c r="K193" s="116"/>
    </row>
    <row r="194" spans="1:11" x14ac:dyDescent="0.2">
      <c r="A194" s="11"/>
      <c r="B194" s="11"/>
      <c r="C194" s="11"/>
      <c r="D194" s="11"/>
      <c r="E194" s="11"/>
      <c r="F194" s="11"/>
      <c r="G194" s="11"/>
      <c r="H194" s="11"/>
      <c r="I194" s="11"/>
      <c r="K194" s="116"/>
    </row>
    <row r="195" spans="1:11" x14ac:dyDescent="0.2">
      <c r="A195" s="116"/>
      <c r="K195" s="116"/>
    </row>
    <row r="196" spans="1:11" ht="15" x14ac:dyDescent="0.25">
      <c r="A196" s="9" t="s">
        <v>162</v>
      </c>
      <c r="F196" s="175"/>
      <c r="K196" s="116"/>
    </row>
    <row r="197" spans="1:11" ht="13.5" thickBot="1" x14ac:dyDescent="0.25">
      <c r="A197" s="137"/>
      <c r="F197" s="175"/>
      <c r="K197" s="116"/>
    </row>
    <row r="198" spans="1:11" ht="13.5" thickBot="1" x14ac:dyDescent="0.25">
      <c r="B198" s="200" t="s">
        <v>60</v>
      </c>
      <c r="C198" s="201"/>
      <c r="D198" s="202"/>
      <c r="F198" s="175"/>
      <c r="K198" s="116"/>
    </row>
    <row r="199" spans="1:11" x14ac:dyDescent="0.2">
      <c r="B199" s="203" t="s">
        <v>89</v>
      </c>
      <c r="C199" s="203" t="s">
        <v>89</v>
      </c>
      <c r="D199" s="204"/>
      <c r="F199" s="205"/>
      <c r="K199" s="116"/>
    </row>
    <row r="200" spans="1:11" x14ac:dyDescent="0.2">
      <c r="B200" s="206" t="s">
        <v>90</v>
      </c>
      <c r="C200" s="206" t="s">
        <v>90</v>
      </c>
      <c r="D200" s="207"/>
      <c r="F200" s="205"/>
      <c r="K200" s="116"/>
    </row>
    <row r="201" spans="1:11" x14ac:dyDescent="0.2">
      <c r="B201" s="206" t="s">
        <v>91</v>
      </c>
      <c r="C201" s="206" t="s">
        <v>92</v>
      </c>
      <c r="D201" s="207" t="s">
        <v>41</v>
      </c>
      <c r="F201" s="205"/>
      <c r="K201" s="116"/>
    </row>
    <row r="202" spans="1:11" ht="15" thickBot="1" x14ac:dyDescent="0.3">
      <c r="B202" s="208" t="s">
        <v>236</v>
      </c>
      <c r="C202" s="208" t="s">
        <v>237</v>
      </c>
      <c r="D202" s="209" t="s">
        <v>238</v>
      </c>
      <c r="F202" s="205"/>
      <c r="K202" s="116"/>
    </row>
    <row r="203" spans="1:11" x14ac:dyDescent="0.2">
      <c r="B203" s="210">
        <v>0</v>
      </c>
      <c r="C203" s="210">
        <f>1-B203</f>
        <v>1</v>
      </c>
      <c r="D203" s="211">
        <v>0.08</v>
      </c>
      <c r="F203" s="212"/>
      <c r="K203" s="116"/>
    </row>
    <row r="204" spans="1:11" x14ac:dyDescent="0.2">
      <c r="B204" s="213">
        <v>0.1</v>
      </c>
      <c r="C204" s="213">
        <f t="shared" ref="C204:C209" si="3">1-B204</f>
        <v>0.9</v>
      </c>
      <c r="D204" s="211">
        <v>0.08</v>
      </c>
      <c r="F204" s="212"/>
      <c r="K204" s="116"/>
    </row>
    <row r="205" spans="1:11" x14ac:dyDescent="0.2">
      <c r="B205" s="213">
        <v>0.2</v>
      </c>
      <c r="C205" s="213">
        <f t="shared" si="3"/>
        <v>0.8</v>
      </c>
      <c r="D205" s="211">
        <v>8.1000000000000003E-2</v>
      </c>
      <c r="F205" s="212"/>
      <c r="K205" s="116"/>
    </row>
    <row r="206" spans="1:11" x14ac:dyDescent="0.2">
      <c r="B206" s="213">
        <v>0.3</v>
      </c>
      <c r="C206" s="213">
        <f t="shared" si="3"/>
        <v>0.7</v>
      </c>
      <c r="D206" s="211">
        <v>8.5000000000000006E-2</v>
      </c>
      <c r="F206" s="212"/>
      <c r="K206" s="116"/>
    </row>
    <row r="207" spans="1:11" x14ac:dyDescent="0.2">
      <c r="B207" s="213">
        <v>0.4</v>
      </c>
      <c r="C207" s="213">
        <f t="shared" si="3"/>
        <v>0.6</v>
      </c>
      <c r="D207" s="211">
        <v>0.09</v>
      </c>
      <c r="F207" s="212"/>
      <c r="K207" s="116"/>
    </row>
    <row r="208" spans="1:11" x14ac:dyDescent="0.2">
      <c r="B208" s="213">
        <v>0.5</v>
      </c>
      <c r="C208" s="213">
        <f t="shared" si="3"/>
        <v>0.5</v>
      </c>
      <c r="D208" s="211">
        <v>0.11</v>
      </c>
      <c r="F208" s="212"/>
      <c r="K208" s="116"/>
    </row>
    <row r="209" spans="1:11" ht="13.5" thickBot="1" x14ac:dyDescent="0.25">
      <c r="B209" s="214">
        <v>0.6</v>
      </c>
      <c r="C209" s="214">
        <f t="shared" si="3"/>
        <v>0.4</v>
      </c>
      <c r="D209" s="215">
        <v>0.14000000000000001</v>
      </c>
      <c r="E209" s="195"/>
      <c r="F209" s="212"/>
      <c r="K209" s="116"/>
    </row>
    <row r="210" spans="1:11" x14ac:dyDescent="0.2">
      <c r="A210" s="116"/>
      <c r="F210" s="175"/>
      <c r="K210" s="116"/>
    </row>
    <row r="211" spans="1:11" ht="15" x14ac:dyDescent="0.25">
      <c r="A211" s="9" t="s">
        <v>42</v>
      </c>
    </row>
    <row r="212" spans="1:11" x14ac:dyDescent="0.2">
      <c r="A212" s="11" t="s">
        <v>153</v>
      </c>
      <c r="B212" s="11"/>
      <c r="C212" s="11"/>
      <c r="D212" s="11"/>
      <c r="E212" s="11"/>
      <c r="F212" s="11"/>
      <c r="G212" s="11"/>
      <c r="H212" s="11"/>
      <c r="I212" s="11"/>
    </row>
    <row r="213" spans="1:11" x14ac:dyDescent="0.2">
      <c r="A213" s="11"/>
      <c r="B213" s="11"/>
      <c r="C213" s="11"/>
      <c r="D213" s="11"/>
      <c r="E213" s="11"/>
      <c r="F213" s="11"/>
      <c r="G213" s="11"/>
      <c r="H213" s="11"/>
      <c r="I213" s="11"/>
    </row>
    <row r="214" spans="1:11" x14ac:dyDescent="0.2">
      <c r="A214" s="11"/>
      <c r="B214" s="11"/>
      <c r="C214" s="11"/>
      <c r="D214" s="11"/>
      <c r="E214" s="11"/>
      <c r="F214" s="11"/>
      <c r="G214" s="11"/>
      <c r="H214" s="11"/>
      <c r="I214" s="11"/>
    </row>
    <row r="215" spans="1:11" x14ac:dyDescent="0.2">
      <c r="A215" s="116"/>
    </row>
    <row r="216" spans="1:11" ht="18" x14ac:dyDescent="0.35">
      <c r="A216" s="9" t="s">
        <v>239</v>
      </c>
    </row>
    <row r="218" spans="1:11" ht="14.25" customHeight="1" x14ac:dyDescent="0.2">
      <c r="A218" s="11" t="s">
        <v>240</v>
      </c>
      <c r="B218" s="11"/>
      <c r="C218" s="11"/>
      <c r="D218" s="11"/>
      <c r="E218" s="11"/>
      <c r="F218" s="11"/>
      <c r="G218" s="11"/>
      <c r="H218" s="11"/>
      <c r="I218" s="11"/>
    </row>
    <row r="219" spans="1:11" x14ac:dyDescent="0.2">
      <c r="A219" s="11"/>
      <c r="B219" s="11"/>
      <c r="C219" s="11"/>
      <c r="D219" s="11"/>
      <c r="E219" s="11"/>
      <c r="F219" s="11"/>
      <c r="G219" s="11"/>
      <c r="H219" s="11"/>
      <c r="I219" s="11"/>
    </row>
    <row r="220" spans="1:11" x14ac:dyDescent="0.2">
      <c r="A220" s="116"/>
    </row>
    <row r="221" spans="1:11" x14ac:dyDescent="0.2">
      <c r="A221" s="116" t="s">
        <v>81</v>
      </c>
    </row>
    <row r="222" spans="1:11" ht="13.5" thickBot="1" x14ac:dyDescent="0.25">
      <c r="A222" s="116"/>
    </row>
    <row r="223" spans="1:11" ht="15" thickBot="1" x14ac:dyDescent="0.3">
      <c r="A223" s="1" t="s">
        <v>241</v>
      </c>
      <c r="B223" s="216">
        <v>1</v>
      </c>
      <c r="C223" s="116"/>
      <c r="D223" s="116"/>
      <c r="E223" s="116"/>
    </row>
    <row r="224" spans="1:11" x14ac:dyDescent="0.2">
      <c r="A224" s="2" t="s">
        <v>22</v>
      </c>
      <c r="B224" s="217">
        <f>E27</f>
        <v>0.4</v>
      </c>
      <c r="C224" s="116"/>
      <c r="D224" s="116"/>
      <c r="E224" s="116"/>
      <c r="F224" s="116"/>
      <c r="G224" s="116"/>
      <c r="H224" s="116"/>
    </row>
    <row r="225" spans="1:9" ht="13.5" thickBot="1" x14ac:dyDescent="0.25">
      <c r="A225" s="116"/>
      <c r="B225" s="116"/>
      <c r="C225" s="116"/>
      <c r="D225" s="116"/>
      <c r="E225" s="116"/>
      <c r="F225" s="116"/>
      <c r="G225" s="116"/>
      <c r="H225" s="116"/>
      <c r="I225" s="116"/>
    </row>
    <row r="226" spans="1:9" ht="15" thickBot="1" x14ac:dyDescent="0.3">
      <c r="B226" s="218" t="s">
        <v>242</v>
      </c>
      <c r="C226" s="218" t="s">
        <v>142</v>
      </c>
      <c r="D226" s="219" t="s">
        <v>243</v>
      </c>
      <c r="E226" s="220"/>
      <c r="F226" s="116"/>
      <c r="G226" s="116"/>
      <c r="H226" s="116"/>
      <c r="I226" s="116"/>
    </row>
    <row r="227" spans="1:9" ht="13.5" thickBot="1" x14ac:dyDescent="0.25">
      <c r="B227" s="221">
        <f t="shared" ref="B227:B233" si="4">B203</f>
        <v>0</v>
      </c>
      <c r="C227" s="222">
        <f t="shared" ref="C227:C233" si="5">B227/(1-B227)</f>
        <v>0</v>
      </c>
      <c r="D227" s="111">
        <f>$B$223*(1+(1-$B$224)*B227)</f>
        <v>1</v>
      </c>
      <c r="E227" s="223"/>
      <c r="F227" s="116"/>
      <c r="G227" s="116"/>
      <c r="H227" s="116"/>
      <c r="I227" s="116"/>
    </row>
    <row r="228" spans="1:9" x14ac:dyDescent="0.2">
      <c r="B228" s="224">
        <f t="shared" si="4"/>
        <v>0.1</v>
      </c>
      <c r="C228" s="225">
        <f t="shared" si="5"/>
        <v>0.11111111111111112</v>
      </c>
      <c r="D228" s="226">
        <f t="shared" ref="D228:D233" si="6">$B$223*(1+(1-$B$224)*C228)</f>
        <v>1.0666666666666667</v>
      </c>
      <c r="E228" s="223"/>
      <c r="F228" s="116"/>
      <c r="G228" s="116"/>
      <c r="H228" s="116"/>
      <c r="I228" s="116"/>
    </row>
    <row r="229" spans="1:9" x14ac:dyDescent="0.2">
      <c r="B229" s="224">
        <f t="shared" si="4"/>
        <v>0.2</v>
      </c>
      <c r="C229" s="225">
        <f t="shared" si="5"/>
        <v>0.25</v>
      </c>
      <c r="D229" s="227">
        <f t="shared" si="6"/>
        <v>1.1499999999999999</v>
      </c>
      <c r="E229" s="223"/>
      <c r="F229" s="116"/>
      <c r="G229" s="116"/>
      <c r="H229" s="116"/>
      <c r="I229" s="116"/>
    </row>
    <row r="230" spans="1:9" ht="13.5" thickBot="1" x14ac:dyDescent="0.25">
      <c r="B230" s="224">
        <f t="shared" si="4"/>
        <v>0.3</v>
      </c>
      <c r="C230" s="225">
        <f t="shared" si="5"/>
        <v>0.4285714285714286</v>
      </c>
      <c r="D230" s="227">
        <f t="shared" si="6"/>
        <v>1.2571428571428571</v>
      </c>
      <c r="E230" s="223"/>
      <c r="F230" s="116"/>
      <c r="G230" s="116"/>
      <c r="H230" s="116"/>
      <c r="I230" s="116"/>
    </row>
    <row r="231" spans="1:9" ht="13.5" thickBot="1" x14ac:dyDescent="0.25">
      <c r="B231" s="228">
        <f t="shared" si="4"/>
        <v>0.4</v>
      </c>
      <c r="C231" s="229">
        <f t="shared" si="5"/>
        <v>0.66666666666666674</v>
      </c>
      <c r="D231" s="230">
        <f t="shared" si="6"/>
        <v>1.4</v>
      </c>
      <c r="E231" s="223"/>
      <c r="F231" s="116"/>
      <c r="G231" s="116"/>
      <c r="H231" s="116"/>
      <c r="I231" s="116"/>
    </row>
    <row r="232" spans="1:9" x14ac:dyDescent="0.2">
      <c r="B232" s="224">
        <f t="shared" si="4"/>
        <v>0.5</v>
      </c>
      <c r="C232" s="225">
        <f t="shared" si="5"/>
        <v>1</v>
      </c>
      <c r="D232" s="227">
        <f t="shared" si="6"/>
        <v>1.6</v>
      </c>
      <c r="E232" s="223"/>
      <c r="F232" s="116"/>
      <c r="G232" s="116"/>
      <c r="H232" s="116"/>
      <c r="I232" s="116"/>
    </row>
    <row r="233" spans="1:9" ht="13.5" thickBot="1" x14ac:dyDescent="0.25">
      <c r="B233" s="231">
        <f t="shared" si="4"/>
        <v>0.6</v>
      </c>
      <c r="C233" s="232">
        <f t="shared" si="5"/>
        <v>1.4999999999999998</v>
      </c>
      <c r="D233" s="233">
        <f t="shared" si="6"/>
        <v>1.9</v>
      </c>
      <c r="E233" s="223"/>
      <c r="F233" s="116"/>
      <c r="G233" s="116"/>
      <c r="H233" s="116"/>
      <c r="I233" s="116"/>
    </row>
    <row r="234" spans="1:9" x14ac:dyDescent="0.2">
      <c r="I234" s="116"/>
    </row>
    <row r="235" spans="1:9" x14ac:dyDescent="0.2">
      <c r="A235" s="11" t="s">
        <v>154</v>
      </c>
      <c r="B235" s="11"/>
      <c r="C235" s="11"/>
      <c r="D235" s="11"/>
      <c r="E235" s="11"/>
      <c r="F235" s="11"/>
      <c r="G235" s="11"/>
      <c r="H235" s="11"/>
      <c r="I235" s="11"/>
    </row>
    <row r="236" spans="1:9" x14ac:dyDescent="0.2">
      <c r="A236" s="11"/>
      <c r="B236" s="11"/>
      <c r="C236" s="11"/>
      <c r="D236" s="11"/>
      <c r="E236" s="11"/>
      <c r="F236" s="11"/>
      <c r="G236" s="11"/>
      <c r="H236" s="11"/>
      <c r="I236" s="11"/>
    </row>
    <row r="237" spans="1:9" x14ac:dyDescent="0.2">
      <c r="A237" s="11"/>
      <c r="B237" s="11"/>
      <c r="C237" s="11"/>
      <c r="D237" s="11"/>
      <c r="E237" s="11"/>
      <c r="F237" s="11"/>
      <c r="G237" s="11"/>
      <c r="H237" s="11"/>
      <c r="I237" s="11"/>
    </row>
    <row r="238" spans="1:9" x14ac:dyDescent="0.2">
      <c r="A238" s="11"/>
      <c r="B238" s="11"/>
      <c r="C238" s="11"/>
      <c r="D238" s="11"/>
      <c r="E238" s="11"/>
      <c r="F238" s="11"/>
      <c r="G238" s="11"/>
      <c r="H238" s="11"/>
      <c r="I238" s="11"/>
    </row>
    <row r="239" spans="1:9" x14ac:dyDescent="0.2">
      <c r="A239" s="11"/>
      <c r="B239" s="11"/>
      <c r="C239" s="11"/>
      <c r="D239" s="11"/>
      <c r="E239" s="11"/>
      <c r="F239" s="11"/>
      <c r="G239" s="11"/>
      <c r="H239" s="11"/>
      <c r="I239" s="11"/>
    </row>
    <row r="240" spans="1:9" x14ac:dyDescent="0.2">
      <c r="A240" s="116"/>
      <c r="C240" s="137"/>
      <c r="F240" s="116"/>
      <c r="G240" s="116"/>
      <c r="H240" s="116"/>
      <c r="I240" s="116"/>
    </row>
    <row r="241" spans="1:16" ht="14.25" x14ac:dyDescent="0.25">
      <c r="A241" s="116" t="s">
        <v>244</v>
      </c>
      <c r="C241" s="140">
        <v>0.06</v>
      </c>
    </row>
    <row r="242" spans="1:16" ht="14.25" x14ac:dyDescent="0.25">
      <c r="A242" s="116" t="s">
        <v>245</v>
      </c>
      <c r="C242" s="140">
        <v>0.06</v>
      </c>
    </row>
    <row r="243" spans="1:16" x14ac:dyDescent="0.2">
      <c r="A243" s="116" t="s">
        <v>93</v>
      </c>
      <c r="C243" s="138">
        <f>C158*(1-B224)</f>
        <v>24000</v>
      </c>
    </row>
    <row r="244" spans="1:16" x14ac:dyDescent="0.2">
      <c r="A244" s="116"/>
      <c r="C244" s="140"/>
    </row>
    <row r="245" spans="1:16" ht="15" x14ac:dyDescent="0.25">
      <c r="A245" s="9" t="s">
        <v>166</v>
      </c>
    </row>
    <row r="246" spans="1:16" ht="13.5" thickBot="1" x14ac:dyDescent="0.25"/>
    <row r="247" spans="1:16" x14ac:dyDescent="0.2">
      <c r="A247" s="234" t="s">
        <v>89</v>
      </c>
      <c r="B247" s="234" t="s">
        <v>141</v>
      </c>
      <c r="C247" s="235" t="s">
        <v>102</v>
      </c>
      <c r="D247" s="236"/>
      <c r="E247" s="237"/>
      <c r="F247" s="234"/>
      <c r="G247" s="234"/>
    </row>
    <row r="248" spans="1:16" x14ac:dyDescent="0.2">
      <c r="A248" s="238" t="s">
        <v>90</v>
      </c>
      <c r="B248" s="238" t="s">
        <v>95</v>
      </c>
      <c r="C248" s="239" t="s">
        <v>103</v>
      </c>
      <c r="D248" s="238" t="s">
        <v>104</v>
      </c>
      <c r="E248" s="240" t="s">
        <v>105</v>
      </c>
      <c r="F248" s="238"/>
      <c r="G248" s="238" t="s">
        <v>106</v>
      </c>
    </row>
    <row r="249" spans="1:16" ht="14.25" x14ac:dyDescent="0.25">
      <c r="A249" s="238" t="s">
        <v>246</v>
      </c>
      <c r="B249" s="238" t="s">
        <v>142</v>
      </c>
      <c r="C249" s="239" t="s">
        <v>247</v>
      </c>
      <c r="D249" s="238" t="s">
        <v>108</v>
      </c>
      <c r="E249" s="240" t="s">
        <v>248</v>
      </c>
      <c r="F249" s="238" t="s">
        <v>37</v>
      </c>
      <c r="G249" s="238" t="s">
        <v>107</v>
      </c>
    </row>
    <row r="250" spans="1:16" ht="13.5" thickBot="1" x14ac:dyDescent="0.25">
      <c r="A250" s="241" t="s">
        <v>94</v>
      </c>
      <c r="B250" s="241" t="s">
        <v>96</v>
      </c>
      <c r="C250" s="242" t="s">
        <v>97</v>
      </c>
      <c r="D250" s="241" t="s">
        <v>98</v>
      </c>
      <c r="E250" s="243" t="s">
        <v>99</v>
      </c>
      <c r="F250" s="241" t="s">
        <v>100</v>
      </c>
      <c r="G250" s="241" t="s">
        <v>101</v>
      </c>
    </row>
    <row r="251" spans="1:16" x14ac:dyDescent="0.2">
      <c r="A251" s="244">
        <f>B203</f>
        <v>0</v>
      </c>
      <c r="B251" s="245">
        <f>A251/(1-A251)</f>
        <v>0</v>
      </c>
      <c r="C251" s="246">
        <f t="shared" ref="C251:C257" si="7">VLOOKUP(A251,$B$203:$D$209,3)*(1-$C$141)</f>
        <v>4.8000000000000001E-2</v>
      </c>
      <c r="D251" s="247">
        <f t="shared" ref="D251:D257" si="8">D227</f>
        <v>1</v>
      </c>
      <c r="E251" s="248">
        <f>$C$241+D251*($C$242)</f>
        <v>0.12</v>
      </c>
      <c r="F251" s="249">
        <f t="shared" ref="F251:F257" si="9">A251*C251+(1-A251)*E251</f>
        <v>0.12</v>
      </c>
      <c r="G251" s="250">
        <f>$C$243/F251</f>
        <v>200000</v>
      </c>
    </row>
    <row r="252" spans="1:16" x14ac:dyDescent="0.2">
      <c r="A252" s="244">
        <f t="shared" ref="A252:A257" si="10">B204</f>
        <v>0.1</v>
      </c>
      <c r="B252" s="251">
        <f t="shared" ref="B252:B257" si="11">A252/(1-A252)</f>
        <v>0.11111111111111112</v>
      </c>
      <c r="C252" s="252">
        <f t="shared" si="7"/>
        <v>4.8000000000000001E-2</v>
      </c>
      <c r="D252" s="247">
        <f t="shared" si="8"/>
        <v>1.0666666666666667</v>
      </c>
      <c r="E252" s="253">
        <f t="shared" ref="E252:E257" si="12">$C$241+D252*($C$242)</f>
        <v>0.124</v>
      </c>
      <c r="F252" s="254">
        <f t="shared" si="9"/>
        <v>0.1164</v>
      </c>
      <c r="G252" s="255">
        <f t="shared" ref="G252:G257" si="13">$C$243/F252</f>
        <v>206185.56701030929</v>
      </c>
      <c r="I252" s="256"/>
      <c r="J252" s="116"/>
      <c r="K252" s="116"/>
      <c r="L252" s="116"/>
      <c r="M252" s="116"/>
      <c r="N252" s="116"/>
      <c r="O252" s="116"/>
      <c r="P252" s="116"/>
    </row>
    <row r="253" spans="1:16" x14ac:dyDescent="0.2">
      <c r="A253" s="244">
        <f t="shared" si="10"/>
        <v>0.2</v>
      </c>
      <c r="B253" s="251">
        <f t="shared" si="11"/>
        <v>0.25</v>
      </c>
      <c r="C253" s="252">
        <f t="shared" si="7"/>
        <v>4.8599999999999997E-2</v>
      </c>
      <c r="D253" s="247">
        <f t="shared" si="8"/>
        <v>1.1499999999999999</v>
      </c>
      <c r="E253" s="253">
        <f t="shared" si="12"/>
        <v>0.129</v>
      </c>
      <c r="F253" s="254">
        <f t="shared" si="9"/>
        <v>0.11292000000000002</v>
      </c>
      <c r="G253" s="255">
        <f t="shared" si="13"/>
        <v>212539.8512221041</v>
      </c>
    </row>
    <row r="254" spans="1:16" ht="13.5" thickBot="1" x14ac:dyDescent="0.25">
      <c r="A254" s="244">
        <f t="shared" si="10"/>
        <v>0.3</v>
      </c>
      <c r="B254" s="251">
        <f t="shared" si="11"/>
        <v>0.4285714285714286</v>
      </c>
      <c r="C254" s="252">
        <f t="shared" si="7"/>
        <v>5.1000000000000004E-2</v>
      </c>
      <c r="D254" s="247">
        <f t="shared" si="8"/>
        <v>1.2571428571428571</v>
      </c>
      <c r="E254" s="253">
        <f t="shared" si="12"/>
        <v>0.13542857142857143</v>
      </c>
      <c r="F254" s="254">
        <f t="shared" si="9"/>
        <v>0.1101</v>
      </c>
      <c r="G254" s="255">
        <f t="shared" si="13"/>
        <v>217983.65122615802</v>
      </c>
    </row>
    <row r="255" spans="1:16" ht="13.5" thickBot="1" x14ac:dyDescent="0.25">
      <c r="A255" s="257">
        <f t="shared" si="10"/>
        <v>0.4</v>
      </c>
      <c r="B255" s="258">
        <f t="shared" si="11"/>
        <v>0.66666666666666674</v>
      </c>
      <c r="C255" s="259">
        <f t="shared" si="7"/>
        <v>5.3999999999999999E-2</v>
      </c>
      <c r="D255" s="260">
        <f t="shared" si="8"/>
        <v>1.4</v>
      </c>
      <c r="E255" s="168">
        <f t="shared" si="12"/>
        <v>0.14399999999999999</v>
      </c>
      <c r="F255" s="261">
        <f t="shared" si="9"/>
        <v>0.10799999999999998</v>
      </c>
      <c r="G255" s="262">
        <f t="shared" si="13"/>
        <v>222222.22222222225</v>
      </c>
    </row>
    <row r="256" spans="1:16" x14ac:dyDescent="0.2">
      <c r="A256" s="244">
        <f t="shared" si="10"/>
        <v>0.5</v>
      </c>
      <c r="B256" s="251">
        <f t="shared" si="11"/>
        <v>1</v>
      </c>
      <c r="C256" s="252">
        <f t="shared" si="7"/>
        <v>6.6000000000000003E-2</v>
      </c>
      <c r="D256" s="247">
        <f t="shared" si="8"/>
        <v>1.6</v>
      </c>
      <c r="E256" s="253">
        <f t="shared" si="12"/>
        <v>0.156</v>
      </c>
      <c r="F256" s="254">
        <f t="shared" si="9"/>
        <v>0.111</v>
      </c>
      <c r="G256" s="255">
        <f t="shared" si="13"/>
        <v>216216.21621621621</v>
      </c>
    </row>
    <row r="257" spans="1:8" ht="13.5" thickBot="1" x14ac:dyDescent="0.25">
      <c r="A257" s="263">
        <f t="shared" si="10"/>
        <v>0.6</v>
      </c>
      <c r="B257" s="264">
        <f t="shared" si="11"/>
        <v>1.4999999999999998</v>
      </c>
      <c r="C257" s="265">
        <f t="shared" si="7"/>
        <v>8.4000000000000005E-2</v>
      </c>
      <c r="D257" s="266">
        <f t="shared" si="8"/>
        <v>1.9</v>
      </c>
      <c r="E257" s="267">
        <f t="shared" si="12"/>
        <v>0.17399999999999999</v>
      </c>
      <c r="F257" s="268">
        <f t="shared" si="9"/>
        <v>0.12</v>
      </c>
      <c r="G257" s="269">
        <f t="shared" si="13"/>
        <v>200000</v>
      </c>
    </row>
    <row r="259" spans="1:8" ht="19.5" x14ac:dyDescent="0.35">
      <c r="A259" s="270" t="s">
        <v>136</v>
      </c>
      <c r="B259" s="271" t="s">
        <v>249</v>
      </c>
      <c r="C259" s="272"/>
      <c r="D259" s="272"/>
      <c r="E259" s="272"/>
      <c r="F259" s="272"/>
    </row>
    <row r="260" spans="1:8" ht="18" x14ac:dyDescent="0.25">
      <c r="A260" s="272"/>
      <c r="B260" s="271" t="s">
        <v>250</v>
      </c>
      <c r="C260" s="272"/>
      <c r="D260" s="272"/>
      <c r="E260" s="272"/>
      <c r="F260" s="272"/>
    </row>
    <row r="261" spans="1:8" ht="18" x14ac:dyDescent="0.25">
      <c r="A261" s="272"/>
      <c r="B261" s="271" t="s">
        <v>251</v>
      </c>
      <c r="C261" s="272"/>
      <c r="D261" s="272"/>
      <c r="E261" s="272"/>
      <c r="F261" s="272"/>
    </row>
    <row r="262" spans="1:8" ht="19.899999999999999" customHeight="1" x14ac:dyDescent="0.2">
      <c r="A262" s="272"/>
      <c r="B262" s="273" t="s">
        <v>252</v>
      </c>
      <c r="C262" s="273"/>
      <c r="D262" s="273"/>
      <c r="E262" s="273"/>
      <c r="F262" s="273"/>
      <c r="G262" s="273"/>
    </row>
    <row r="263" spans="1:8" ht="18.600000000000001" customHeight="1" x14ac:dyDescent="0.2">
      <c r="A263" s="272"/>
      <c r="B263" s="273"/>
      <c r="C263" s="273"/>
      <c r="D263" s="273"/>
      <c r="E263" s="273"/>
      <c r="F263" s="273"/>
      <c r="G263" s="273"/>
    </row>
    <row r="264" spans="1:8" ht="19.899999999999999" customHeight="1" x14ac:dyDescent="0.2">
      <c r="A264" s="272"/>
      <c r="B264" s="273" t="s">
        <v>253</v>
      </c>
      <c r="C264" s="273"/>
      <c r="D264" s="273"/>
      <c r="E264" s="273"/>
      <c r="F264" s="273"/>
      <c r="G264" s="273"/>
    </row>
    <row r="265" spans="1:8" ht="18.600000000000001" customHeight="1" x14ac:dyDescent="0.2">
      <c r="A265" s="272"/>
      <c r="B265" s="273"/>
      <c r="C265" s="273"/>
      <c r="D265" s="273"/>
      <c r="E265" s="273"/>
      <c r="F265" s="273"/>
      <c r="G265" s="273"/>
    </row>
    <row r="266" spans="1:8" ht="12.75" customHeight="1" x14ac:dyDescent="0.2">
      <c r="A266" s="272"/>
      <c r="B266" s="273" t="s">
        <v>254</v>
      </c>
      <c r="C266" s="273"/>
      <c r="D266" s="273"/>
      <c r="E266" s="273"/>
      <c r="F266" s="273"/>
      <c r="G266" s="273"/>
      <c r="H266" s="273"/>
    </row>
    <row r="267" spans="1:8" ht="12.75" customHeight="1" x14ac:dyDescent="0.2">
      <c r="A267" s="272"/>
      <c r="B267" s="273"/>
      <c r="C267" s="273"/>
      <c r="D267" s="273"/>
      <c r="E267" s="273"/>
      <c r="F267" s="273"/>
      <c r="G267" s="273"/>
      <c r="H267" s="273"/>
    </row>
    <row r="268" spans="1:8" ht="12.75" customHeight="1" x14ac:dyDescent="0.2">
      <c r="A268" s="272"/>
      <c r="B268" s="273"/>
      <c r="C268" s="273"/>
      <c r="D268" s="273"/>
      <c r="E268" s="273"/>
      <c r="F268" s="273"/>
      <c r="G268" s="273"/>
      <c r="H268" s="273"/>
    </row>
    <row r="269" spans="1:8" ht="12.75" customHeight="1" x14ac:dyDescent="0.2">
      <c r="A269" s="272"/>
      <c r="B269" s="273"/>
      <c r="C269" s="273"/>
      <c r="D269" s="273"/>
      <c r="E269" s="273"/>
      <c r="F269" s="273"/>
      <c r="G269" s="273"/>
      <c r="H269" s="273"/>
    </row>
    <row r="270" spans="1:8" ht="12.75" customHeight="1" x14ac:dyDescent="0.2">
      <c r="A270" s="272"/>
      <c r="B270" s="273"/>
      <c r="C270" s="273"/>
      <c r="D270" s="273"/>
      <c r="E270" s="273"/>
      <c r="F270" s="273"/>
      <c r="G270" s="273"/>
      <c r="H270" s="273"/>
    </row>
    <row r="271" spans="1:8" ht="15.75" x14ac:dyDescent="0.25">
      <c r="A271" s="272"/>
      <c r="B271" s="272"/>
      <c r="C271" s="274" t="s">
        <v>137</v>
      </c>
      <c r="D271" s="275" t="s">
        <v>138</v>
      </c>
    </row>
    <row r="272" spans="1:8" ht="15.75" x14ac:dyDescent="0.25">
      <c r="A272" s="272"/>
      <c r="B272" s="272"/>
      <c r="C272" s="272"/>
      <c r="D272" s="275" t="s">
        <v>139</v>
      </c>
      <c r="E272" s="272"/>
    </row>
    <row r="273" spans="1:9" x14ac:dyDescent="0.2">
      <c r="A273" s="11" t="s">
        <v>155</v>
      </c>
      <c r="B273" s="11"/>
      <c r="C273" s="11"/>
      <c r="D273" s="11"/>
      <c r="E273" s="11"/>
      <c r="F273" s="11"/>
      <c r="G273" s="11"/>
      <c r="H273" s="11"/>
      <c r="I273" s="11"/>
    </row>
    <row r="274" spans="1:9" x14ac:dyDescent="0.2">
      <c r="A274" s="11"/>
      <c r="B274" s="11"/>
      <c r="C274" s="11"/>
      <c r="D274" s="11"/>
      <c r="E274" s="11"/>
      <c r="F274" s="11"/>
      <c r="G274" s="11"/>
      <c r="H274" s="11"/>
      <c r="I274" s="11"/>
    </row>
    <row r="275" spans="1:9" x14ac:dyDescent="0.2">
      <c r="A275" s="116"/>
    </row>
    <row r="276" spans="1:9" x14ac:dyDescent="0.2">
      <c r="A276" s="116" t="s">
        <v>61</v>
      </c>
    </row>
    <row r="277" spans="1:9" x14ac:dyDescent="0.2">
      <c r="A277" s="116"/>
    </row>
    <row r="279" spans="1:9" x14ac:dyDescent="0.2">
      <c r="A279" s="116"/>
    </row>
    <row r="280" spans="1:9" ht="12.75" customHeight="1" x14ac:dyDescent="0.2">
      <c r="A280" s="116"/>
    </row>
    <row r="281" spans="1:9" x14ac:dyDescent="0.2">
      <c r="A281" s="116"/>
    </row>
    <row r="283" spans="1:9" ht="12.75" customHeight="1" x14ac:dyDescent="0.2"/>
    <row r="284" spans="1:9" s="175" customFormat="1" ht="12.75" customHeight="1" x14ac:dyDescent="0.2">
      <c r="A284" s="276"/>
      <c r="B284" s="277"/>
      <c r="C284" s="278"/>
      <c r="D284" s="278"/>
      <c r="E284" s="278"/>
      <c r="F284" s="278"/>
      <c r="G284" s="278"/>
      <c r="H284" s="278"/>
      <c r="I284" s="278"/>
    </row>
    <row r="285" spans="1:9" s="175" customFormat="1" x14ac:dyDescent="0.2"/>
    <row r="286" spans="1:9" s="175" customFormat="1" x14ac:dyDescent="0.2"/>
    <row r="287" spans="1:9" s="175" customFormat="1" x14ac:dyDescent="0.2"/>
    <row r="288" spans="1:9" s="175" customFormat="1" x14ac:dyDescent="0.2">
      <c r="C288" s="279"/>
    </row>
    <row r="289" spans="3:4" s="175" customFormat="1" x14ac:dyDescent="0.2">
      <c r="C289" s="278"/>
    </row>
    <row r="290" spans="3:4" s="175" customFormat="1" x14ac:dyDescent="0.2">
      <c r="C290" s="278"/>
    </row>
    <row r="291" spans="3:4" s="175" customFormat="1" x14ac:dyDescent="0.2"/>
    <row r="292" spans="3:4" s="175" customFormat="1" x14ac:dyDescent="0.2">
      <c r="D292" s="280"/>
    </row>
    <row r="293" spans="3:4" s="175" customFormat="1" x14ac:dyDescent="0.2">
      <c r="D293" s="281"/>
    </row>
    <row r="294" spans="3:4" s="175" customFormat="1" x14ac:dyDescent="0.2"/>
    <row r="295" spans="3:4" s="175" customFormat="1" x14ac:dyDescent="0.2"/>
    <row r="296" spans="3:4" s="175" customFormat="1" x14ac:dyDescent="0.2"/>
    <row r="297" spans="3:4" s="175" customFormat="1" x14ac:dyDescent="0.2"/>
    <row r="298" spans="3:4" s="175" customFormat="1" x14ac:dyDescent="0.2"/>
    <row r="299" spans="3:4" s="175" customFormat="1" x14ac:dyDescent="0.2"/>
    <row r="300" spans="3:4" s="175" customFormat="1" x14ac:dyDescent="0.2"/>
    <row r="301" spans="3:4" s="175" customFormat="1" x14ac:dyDescent="0.2"/>
    <row r="302" spans="3:4" s="175" customFormat="1" x14ac:dyDescent="0.2"/>
    <row r="303" spans="3:4" s="175" customFormat="1" x14ac:dyDescent="0.2"/>
    <row r="304" spans="3:4" s="175" customFormat="1" x14ac:dyDescent="0.2"/>
    <row r="305" s="175" customFormat="1" x14ac:dyDescent="0.2"/>
    <row r="306" s="175" customFormat="1" x14ac:dyDescent="0.2"/>
    <row r="307" s="175" customFormat="1" x14ac:dyDescent="0.2"/>
    <row r="308" s="175" customFormat="1" x14ac:dyDescent="0.2"/>
    <row r="309" s="175" customFormat="1" x14ac:dyDescent="0.2"/>
    <row r="310" s="175" customFormat="1" x14ac:dyDescent="0.2"/>
    <row r="311" s="175" customFormat="1" x14ac:dyDescent="0.2"/>
    <row r="312" s="175" customFormat="1" x14ac:dyDescent="0.2"/>
    <row r="313" s="175" customFormat="1" x14ac:dyDescent="0.2"/>
    <row r="314" s="175" customFormat="1" x14ac:dyDescent="0.2"/>
    <row r="315" s="175" customFormat="1" x14ac:dyDescent="0.2"/>
    <row r="316" s="175" customFormat="1" x14ac:dyDescent="0.2"/>
    <row r="317" s="175" customFormat="1" x14ac:dyDescent="0.2"/>
    <row r="318" s="175" customFormat="1" x14ac:dyDescent="0.2"/>
    <row r="319" s="175" customFormat="1" x14ac:dyDescent="0.2"/>
    <row r="320" s="175" customFormat="1" x14ac:dyDescent="0.2"/>
    <row r="321" spans="1:13" s="175" customFormat="1" x14ac:dyDescent="0.2"/>
    <row r="322" spans="1:13" s="175" customFormat="1" x14ac:dyDescent="0.2"/>
    <row r="323" spans="1:13" s="175" customFormat="1" x14ac:dyDescent="0.2">
      <c r="C323" s="277"/>
      <c r="D323" s="277"/>
      <c r="E323" s="277"/>
      <c r="F323" s="277"/>
      <c r="G323" s="277"/>
      <c r="H323" s="277"/>
      <c r="I323" s="277"/>
      <c r="J323" s="277"/>
      <c r="K323" s="277"/>
    </row>
    <row r="324" spans="1:13" s="175" customFormat="1" ht="15" x14ac:dyDescent="0.25">
      <c r="A324" s="282" t="s">
        <v>129</v>
      </c>
      <c r="B324" s="283"/>
      <c r="C324" s="277"/>
      <c r="D324" s="277"/>
      <c r="E324" s="277"/>
      <c r="F324" s="277"/>
      <c r="G324" s="277"/>
      <c r="H324" s="277"/>
      <c r="I324" s="284"/>
      <c r="J324" s="277"/>
      <c r="K324" s="285"/>
    </row>
    <row r="325" spans="1:13" s="175" customFormat="1" x14ac:dyDescent="0.2">
      <c r="A325" s="286"/>
      <c r="B325" s="287"/>
      <c r="C325" s="287"/>
      <c r="D325" s="287"/>
      <c r="E325" s="287"/>
      <c r="F325" s="287"/>
      <c r="G325" s="287"/>
      <c r="H325" s="287"/>
      <c r="I325" s="287"/>
    </row>
    <row r="326" spans="1:13" s="175" customFormat="1" ht="12.75" customHeight="1" x14ac:dyDescent="0.2">
      <c r="A326" s="288" t="s">
        <v>130</v>
      </c>
      <c r="B326" s="288"/>
      <c r="C326" s="288"/>
      <c r="D326" s="288"/>
      <c r="E326" s="288"/>
      <c r="F326" s="288"/>
      <c r="G326" s="288"/>
      <c r="H326" s="288"/>
      <c r="I326" s="287"/>
    </row>
    <row r="327" spans="1:13" ht="12.75" customHeight="1" x14ac:dyDescent="0.2">
      <c r="A327" s="288"/>
      <c r="B327" s="288"/>
      <c r="C327" s="288"/>
      <c r="D327" s="288"/>
      <c r="E327" s="288"/>
      <c r="F327" s="288"/>
      <c r="G327" s="288"/>
      <c r="H327" s="288"/>
      <c r="I327" s="276"/>
    </row>
    <row r="328" spans="1:13" ht="12.75" customHeight="1" x14ac:dyDescent="0.2">
      <c r="A328" s="288"/>
      <c r="B328" s="288"/>
      <c r="C328" s="288"/>
      <c r="D328" s="288"/>
      <c r="E328" s="288"/>
      <c r="F328" s="288"/>
      <c r="G328" s="288"/>
      <c r="H328" s="288"/>
      <c r="I328" s="276"/>
    </row>
    <row r="329" spans="1:13" ht="12.75" customHeight="1" x14ac:dyDescent="0.2">
      <c r="A329" s="288"/>
      <c r="B329" s="288"/>
      <c r="C329" s="288"/>
      <c r="D329" s="288"/>
      <c r="E329" s="288"/>
      <c r="F329" s="288"/>
      <c r="G329" s="288"/>
      <c r="H329" s="288"/>
      <c r="I329" s="276"/>
    </row>
    <row r="330" spans="1:13" ht="12.75" customHeight="1" x14ac:dyDescent="0.2">
      <c r="A330" s="288"/>
      <c r="B330" s="288"/>
      <c r="C330" s="288"/>
      <c r="D330" s="288"/>
      <c r="E330" s="288"/>
      <c r="F330" s="288"/>
      <c r="G330" s="288"/>
      <c r="H330" s="288"/>
      <c r="I330" s="276"/>
    </row>
    <row r="331" spans="1:13" ht="12.75" customHeight="1" x14ac:dyDescent="0.2">
      <c r="A331" s="288"/>
      <c r="B331" s="288"/>
      <c r="C331" s="288"/>
      <c r="D331" s="288"/>
      <c r="E331" s="288"/>
      <c r="F331" s="288"/>
      <c r="G331" s="288"/>
      <c r="H331" s="288"/>
      <c r="I331" s="276"/>
    </row>
    <row r="332" spans="1:13" ht="12.75" customHeight="1" x14ac:dyDescent="0.2">
      <c r="A332" s="288"/>
      <c r="B332" s="288"/>
      <c r="C332" s="288"/>
      <c r="D332" s="288"/>
      <c r="E332" s="288"/>
      <c r="F332" s="288"/>
      <c r="G332" s="288"/>
      <c r="H332" s="288"/>
      <c r="I332" s="276"/>
    </row>
    <row r="333" spans="1:13" ht="12.75" customHeight="1" x14ac:dyDescent="0.2">
      <c r="A333" s="288"/>
      <c r="B333" s="288"/>
      <c r="C333" s="288"/>
      <c r="D333" s="288"/>
      <c r="E333" s="288"/>
      <c r="F333" s="288"/>
      <c r="G333" s="288"/>
      <c r="H333" s="288"/>
      <c r="I333" s="276"/>
    </row>
    <row r="334" spans="1:13" ht="15" x14ac:dyDescent="0.25">
      <c r="A334" s="282"/>
      <c r="H334" s="289"/>
    </row>
    <row r="335" spans="1:13" ht="13.5" thickBot="1" x14ac:dyDescent="0.25">
      <c r="C335" s="127" t="s">
        <v>164</v>
      </c>
      <c r="D335" s="290" t="s">
        <v>165</v>
      </c>
      <c r="H335" s="289"/>
    </row>
    <row r="336" spans="1:13" x14ac:dyDescent="0.2">
      <c r="A336" s="142" t="s">
        <v>89</v>
      </c>
      <c r="B336" s="291"/>
      <c r="C336" s="291" t="s">
        <v>110</v>
      </c>
      <c r="D336" s="291" t="s">
        <v>110</v>
      </c>
      <c r="E336" s="236"/>
      <c r="F336" s="291" t="s">
        <v>112</v>
      </c>
      <c r="G336" s="291"/>
      <c r="H336" s="291" t="s">
        <v>131</v>
      </c>
      <c r="I336" s="175"/>
      <c r="J336" s="175"/>
      <c r="K336" s="292"/>
      <c r="L336" s="175"/>
      <c r="M336" s="175"/>
    </row>
    <row r="337" spans="1:18" x14ac:dyDescent="0.2">
      <c r="A337" s="146" t="s">
        <v>90</v>
      </c>
      <c r="B337" s="293" t="str">
        <f t="shared" ref="B337:B346" si="14">G248</f>
        <v>Value of</v>
      </c>
      <c r="C337" s="293" t="s">
        <v>111</v>
      </c>
      <c r="D337" s="293" t="s">
        <v>111</v>
      </c>
      <c r="E337" s="293" t="s">
        <v>140</v>
      </c>
      <c r="F337" s="293" t="s">
        <v>113</v>
      </c>
      <c r="G337" s="293" t="s">
        <v>134</v>
      </c>
      <c r="H337" s="293" t="s">
        <v>132</v>
      </c>
      <c r="I337" s="175"/>
      <c r="J337" s="175"/>
      <c r="K337" s="292"/>
      <c r="L337" s="175"/>
      <c r="M337" s="175"/>
    </row>
    <row r="338" spans="1:18" ht="14.25" x14ac:dyDescent="0.25">
      <c r="A338" s="146" t="s">
        <v>255</v>
      </c>
      <c r="B338" s="293" t="str">
        <f t="shared" si="14"/>
        <v>firm, V</v>
      </c>
      <c r="C338" s="293" t="s">
        <v>135</v>
      </c>
      <c r="D338" s="293" t="s">
        <v>143</v>
      </c>
      <c r="E338" s="293" t="s">
        <v>109</v>
      </c>
      <c r="F338" s="293" t="s">
        <v>144</v>
      </c>
      <c r="G338" s="293" t="s">
        <v>133</v>
      </c>
      <c r="H338" s="293" t="s">
        <v>39</v>
      </c>
      <c r="I338" s="175"/>
      <c r="J338" s="175"/>
      <c r="K338" s="292"/>
      <c r="L338" s="175"/>
      <c r="M338" s="175"/>
    </row>
    <row r="339" spans="1:18" s="297" customFormat="1" ht="15.75" thickBot="1" x14ac:dyDescent="0.3">
      <c r="A339" s="150" t="s">
        <v>94</v>
      </c>
      <c r="B339" s="294" t="s">
        <v>96</v>
      </c>
      <c r="C339" s="294" t="s">
        <v>97</v>
      </c>
      <c r="D339" s="294" t="s">
        <v>98</v>
      </c>
      <c r="E339" s="294" t="s">
        <v>99</v>
      </c>
      <c r="F339" s="294" t="s">
        <v>100</v>
      </c>
      <c r="G339" s="294" t="s">
        <v>101</v>
      </c>
      <c r="H339" s="294" t="s">
        <v>122</v>
      </c>
      <c r="I339" s="295"/>
      <c r="J339" s="296"/>
      <c r="K339" s="296"/>
      <c r="L339" s="296"/>
      <c r="M339" s="175"/>
      <c r="N339" s="2"/>
      <c r="O339" s="2"/>
    </row>
    <row r="340" spans="1:18" x14ac:dyDescent="0.2">
      <c r="A340" s="298">
        <f>A251</f>
        <v>0</v>
      </c>
      <c r="B340" s="299">
        <f t="shared" si="14"/>
        <v>200000</v>
      </c>
      <c r="C340" s="300">
        <f>A340*B340</f>
        <v>0</v>
      </c>
      <c r="D340" s="300">
        <f>B340-C340</f>
        <v>200000</v>
      </c>
      <c r="E340" s="301">
        <f>(D340+C340)/$C$140</f>
        <v>20</v>
      </c>
      <c r="F340" s="300">
        <f>D340/E340</f>
        <v>10000</v>
      </c>
      <c r="G340" s="300">
        <f t="shared" ref="G340:G346" si="15">($C$175-(D203*C340))*(1-$C$141)</f>
        <v>24000</v>
      </c>
      <c r="H340" s="301">
        <f>G340/F340</f>
        <v>2.4</v>
      </c>
      <c r="I340" s="302"/>
      <c r="J340" s="303"/>
      <c r="K340" s="303"/>
      <c r="L340" s="304"/>
      <c r="M340" s="175"/>
    </row>
    <row r="341" spans="1:18" x14ac:dyDescent="0.2">
      <c r="A341" s="224">
        <f t="shared" ref="A341:A346" si="16">A252</f>
        <v>0.1</v>
      </c>
      <c r="B341" s="305">
        <f t="shared" si="14"/>
        <v>206185.56701030929</v>
      </c>
      <c r="C341" s="306">
        <f t="shared" ref="C341:C346" si="17">A341*B341</f>
        <v>20618.556701030931</v>
      </c>
      <c r="D341" s="306">
        <f t="shared" ref="D341:D346" si="18">B341-C341</f>
        <v>185567.01030927835</v>
      </c>
      <c r="E341" s="307">
        <f t="shared" ref="E341:E346" si="19">(D341+C341)/$C$140</f>
        <v>20.618556701030929</v>
      </c>
      <c r="F341" s="306">
        <f t="shared" ref="F341:F346" si="20">D341/E341</f>
        <v>9000</v>
      </c>
      <c r="G341" s="306">
        <f t="shared" si="15"/>
        <v>23010.309278350513</v>
      </c>
      <c r="H341" s="307">
        <f t="shared" ref="H341:H346" si="21">G341/F341</f>
        <v>2.5567010309278349</v>
      </c>
      <c r="I341" s="302"/>
      <c r="J341" s="308"/>
      <c r="K341" s="308"/>
      <c r="L341" s="304"/>
      <c r="M341" s="175"/>
    </row>
    <row r="342" spans="1:18" x14ac:dyDescent="0.2">
      <c r="A342" s="224">
        <f t="shared" si="16"/>
        <v>0.2</v>
      </c>
      <c r="B342" s="305">
        <f t="shared" si="14"/>
        <v>212539.8512221041</v>
      </c>
      <c r="C342" s="306">
        <f t="shared" si="17"/>
        <v>42507.970244420823</v>
      </c>
      <c r="D342" s="306">
        <f t="shared" si="18"/>
        <v>170031.88097768329</v>
      </c>
      <c r="E342" s="307">
        <f t="shared" si="19"/>
        <v>21.253985122210409</v>
      </c>
      <c r="F342" s="306">
        <f t="shared" si="20"/>
        <v>8000.0000000000009</v>
      </c>
      <c r="G342" s="306">
        <f t="shared" si="15"/>
        <v>21934.11264612115</v>
      </c>
      <c r="H342" s="307">
        <f t="shared" si="21"/>
        <v>2.7417640807651433</v>
      </c>
      <c r="I342" s="302"/>
      <c r="J342" s="308"/>
      <c r="K342" s="308"/>
      <c r="L342" s="304"/>
      <c r="M342" s="175"/>
    </row>
    <row r="343" spans="1:18" ht="13.5" thickBot="1" x14ac:dyDescent="0.25">
      <c r="A343" s="224">
        <f t="shared" si="16"/>
        <v>0.3</v>
      </c>
      <c r="B343" s="305">
        <f t="shared" si="14"/>
        <v>217983.65122615802</v>
      </c>
      <c r="C343" s="306">
        <f t="shared" si="17"/>
        <v>65395.095367847403</v>
      </c>
      <c r="D343" s="306">
        <f t="shared" si="18"/>
        <v>152588.5558583106</v>
      </c>
      <c r="E343" s="307">
        <f t="shared" si="19"/>
        <v>21.798365122615802</v>
      </c>
      <c r="F343" s="306">
        <f t="shared" si="20"/>
        <v>6999.9999999999991</v>
      </c>
      <c r="G343" s="306">
        <f t="shared" si="15"/>
        <v>20664.85013623978</v>
      </c>
      <c r="H343" s="307">
        <f t="shared" si="21"/>
        <v>2.9521214480342546</v>
      </c>
      <c r="I343" s="302"/>
      <c r="J343" s="308"/>
      <c r="K343" s="308"/>
      <c r="L343" s="304"/>
      <c r="M343" s="175"/>
    </row>
    <row r="344" spans="1:18" ht="13.5" thickBot="1" x14ac:dyDescent="0.25">
      <c r="A344" s="309">
        <f t="shared" si="16"/>
        <v>0.4</v>
      </c>
      <c r="B344" s="310">
        <f t="shared" si="14"/>
        <v>222222.22222222225</v>
      </c>
      <c r="C344" s="311">
        <f t="shared" si="17"/>
        <v>88888.888888888905</v>
      </c>
      <c r="D344" s="311">
        <f t="shared" si="18"/>
        <v>133333.33333333334</v>
      </c>
      <c r="E344" s="312">
        <f t="shared" si="19"/>
        <v>22.222222222222225</v>
      </c>
      <c r="F344" s="311">
        <f t="shared" si="20"/>
        <v>6000</v>
      </c>
      <c r="G344" s="311">
        <f t="shared" si="15"/>
        <v>19200</v>
      </c>
      <c r="H344" s="312">
        <f t="shared" si="21"/>
        <v>3.2</v>
      </c>
      <c r="I344" s="302"/>
      <c r="J344" s="308"/>
      <c r="K344" s="308"/>
      <c r="L344" s="304"/>
      <c r="M344" s="175"/>
    </row>
    <row r="345" spans="1:18" x14ac:dyDescent="0.2">
      <c r="A345" s="224">
        <f t="shared" si="16"/>
        <v>0.5</v>
      </c>
      <c r="B345" s="305">
        <f t="shared" si="14"/>
        <v>216216.21621621621</v>
      </c>
      <c r="C345" s="306">
        <f t="shared" si="17"/>
        <v>108108.10810810811</v>
      </c>
      <c r="D345" s="306">
        <f t="shared" si="18"/>
        <v>108108.10810810811</v>
      </c>
      <c r="E345" s="307">
        <f t="shared" si="19"/>
        <v>21.621621621621621</v>
      </c>
      <c r="F345" s="306">
        <f t="shared" si="20"/>
        <v>5000</v>
      </c>
      <c r="G345" s="306">
        <f t="shared" si="15"/>
        <v>16864.864864864863</v>
      </c>
      <c r="H345" s="307">
        <f t="shared" si="21"/>
        <v>3.3729729729729727</v>
      </c>
      <c r="I345" s="302"/>
      <c r="J345" s="308"/>
      <c r="K345" s="308"/>
      <c r="L345" s="304"/>
      <c r="M345" s="175"/>
    </row>
    <row r="346" spans="1:18" ht="13.5" thickBot="1" x14ac:dyDescent="0.25">
      <c r="A346" s="231">
        <f t="shared" si="16"/>
        <v>0.6</v>
      </c>
      <c r="B346" s="313">
        <f t="shared" si="14"/>
        <v>200000</v>
      </c>
      <c r="C346" s="314">
        <f t="shared" si="17"/>
        <v>120000</v>
      </c>
      <c r="D346" s="314">
        <f t="shared" si="18"/>
        <v>80000</v>
      </c>
      <c r="E346" s="315">
        <f t="shared" si="19"/>
        <v>20</v>
      </c>
      <c r="F346" s="314">
        <f t="shared" si="20"/>
        <v>4000</v>
      </c>
      <c r="G346" s="314">
        <f t="shared" si="15"/>
        <v>13920</v>
      </c>
      <c r="H346" s="315">
        <f t="shared" si="21"/>
        <v>3.48</v>
      </c>
      <c r="I346" s="302"/>
      <c r="J346" s="308"/>
      <c r="K346" s="308"/>
      <c r="L346" s="304"/>
      <c r="M346" s="175"/>
    </row>
    <row r="347" spans="1:18" x14ac:dyDescent="0.2">
      <c r="G347" s="175"/>
      <c r="H347" s="175"/>
      <c r="I347" s="175"/>
      <c r="J347" s="175"/>
      <c r="K347" s="175"/>
      <c r="L347" s="175"/>
      <c r="M347" s="175"/>
    </row>
    <row r="348" spans="1:18" x14ac:dyDescent="0.2">
      <c r="A348" s="287"/>
      <c r="B348" s="287"/>
      <c r="C348" s="287"/>
      <c r="D348" s="287"/>
      <c r="E348" s="287"/>
      <c r="F348" s="287"/>
      <c r="G348" s="287"/>
      <c r="H348" s="287"/>
      <c r="I348" s="287"/>
      <c r="J348" s="287"/>
      <c r="K348" s="287"/>
      <c r="L348" s="287"/>
      <c r="M348" s="287"/>
      <c r="N348" s="287"/>
      <c r="O348" s="287"/>
      <c r="P348" s="287"/>
      <c r="Q348" s="287"/>
      <c r="R348" s="287"/>
    </row>
  </sheetData>
  <mergeCells count="26">
    <mergeCell ref="B266:H270"/>
    <mergeCell ref="A273:I274"/>
    <mergeCell ref="B262:G263"/>
    <mergeCell ref="B264:G265"/>
    <mergeCell ref="A179:I182"/>
    <mergeCell ref="A193:I194"/>
    <mergeCell ref="A212:I214"/>
    <mergeCell ref="B198:D198"/>
    <mergeCell ref="A218:I219"/>
    <mergeCell ref="A235:I239"/>
    <mergeCell ref="A66:H67"/>
    <mergeCell ref="A92:I93"/>
    <mergeCell ref="A95:I97"/>
    <mergeCell ref="A111:I115"/>
    <mergeCell ref="A119:I124"/>
    <mergeCell ref="A126:I128"/>
    <mergeCell ref="A326:H333"/>
    <mergeCell ref="A3:I3"/>
    <mergeCell ref="B45:E45"/>
    <mergeCell ref="A186:H191"/>
    <mergeCell ref="A130:H134"/>
    <mergeCell ref="F45:I45"/>
    <mergeCell ref="C31:E31"/>
    <mergeCell ref="A5:I10"/>
    <mergeCell ref="A14:I19"/>
    <mergeCell ref="A61:I64"/>
  </mergeCells>
  <phoneticPr fontId="0" type="noConversion"/>
  <printOptions headings="1" gridLines="1"/>
  <pageMargins left="0.3" right="0.3" top="1" bottom="1" header="0.5" footer="0.5"/>
  <pageSetup scale="81" orientation="portrait" r:id="rId1"/>
  <headerFooter alignWithMargins="0"/>
  <rowBreaks count="5" manualBreakCount="5">
    <brk id="64" max="16383" man="1"/>
    <brk id="116" max="16383" man="1"/>
    <brk id="160" max="16383" man="1"/>
    <brk id="214" max="16383" man="1"/>
    <brk id="293" max="16383" man="1"/>
  </rowBreaks>
  <colBreaks count="1" manualBreakCount="1">
    <brk id="9" max="1048575" man="1"/>
  </colBreak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J171"/>
  <sheetViews>
    <sheetView showGridLines="0" tabSelected="1" zoomScale="130" zoomScaleNormal="130" zoomScaleSheetLayoutView="100" workbookViewId="0">
      <selection activeCell="B12" sqref="B12"/>
    </sheetView>
  </sheetViews>
  <sheetFormatPr baseColWidth="10" defaultColWidth="9.33203125" defaultRowHeight="12.75" x14ac:dyDescent="0.2"/>
  <cols>
    <col min="1" max="1" width="13.33203125" style="2" customWidth="1"/>
    <col min="2" max="2" width="13.6640625" style="2" customWidth="1"/>
    <col min="3" max="3" width="13.1640625" style="2" customWidth="1"/>
    <col min="4" max="4" width="14.83203125" style="2" customWidth="1"/>
    <col min="5" max="5" width="14.5" style="2" customWidth="1"/>
    <col min="6" max="6" width="13.1640625" style="2" customWidth="1"/>
    <col min="7" max="7" width="12.83203125" style="2" customWidth="1"/>
    <col min="8" max="8" width="13" style="2" customWidth="1"/>
    <col min="9" max="9" width="12.6640625" style="2" customWidth="1"/>
    <col min="10" max="10" width="9.5" style="2" bestFit="1" customWidth="1"/>
    <col min="11" max="11" width="12.83203125" style="2" customWidth="1"/>
    <col min="12" max="12" width="13" style="2" customWidth="1"/>
    <col min="13" max="13" width="13.1640625" style="2" customWidth="1"/>
    <col min="14" max="16384" width="9.33203125" style="2"/>
  </cols>
  <sheetData>
    <row r="1" spans="1:9" s="2" customFormat="1" x14ac:dyDescent="0.2">
      <c r="A1" s="1" t="s">
        <v>159</v>
      </c>
      <c r="E1" s="3"/>
      <c r="H1" s="4" t="s">
        <v>159</v>
      </c>
    </row>
    <row r="2" spans="1:9" s="2" customFormat="1" x14ac:dyDescent="0.2">
      <c r="E2" s="5"/>
      <c r="I2" s="4"/>
    </row>
    <row r="3" spans="1:9" s="2" customFormat="1" ht="15.75" x14ac:dyDescent="0.25">
      <c r="A3" s="6" t="s">
        <v>167</v>
      </c>
      <c r="B3" s="6"/>
      <c r="C3" s="6"/>
      <c r="D3" s="6"/>
      <c r="E3" s="6"/>
      <c r="F3" s="6"/>
      <c r="G3" s="6"/>
      <c r="H3" s="6"/>
      <c r="I3" s="6"/>
    </row>
    <row r="5" spans="1:9" s="2" customFormat="1" x14ac:dyDescent="0.2">
      <c r="A5" s="7" t="s">
        <v>168</v>
      </c>
      <c r="B5" s="316"/>
      <c r="C5" s="316"/>
      <c r="D5" s="316"/>
      <c r="E5" s="316"/>
      <c r="F5" s="316"/>
      <c r="G5" s="316"/>
    </row>
    <row r="6" spans="1:9" s="2" customFormat="1" x14ac:dyDescent="0.2">
      <c r="A6" s="316"/>
      <c r="B6" s="316"/>
      <c r="C6" s="316"/>
      <c r="D6" s="316"/>
      <c r="E6" s="316"/>
      <c r="F6" s="316"/>
      <c r="G6" s="316"/>
    </row>
    <row r="7" spans="1:9" s="2" customFormat="1" x14ac:dyDescent="0.2">
      <c r="A7" s="317"/>
    </row>
    <row r="8" spans="1:9" s="2" customFormat="1" x14ac:dyDescent="0.2">
      <c r="B8" s="8"/>
      <c r="C8" s="8"/>
      <c r="D8" s="8"/>
      <c r="E8" s="8"/>
    </row>
    <row r="9" spans="1:9" s="2" customFormat="1" ht="15" x14ac:dyDescent="0.25">
      <c r="A9" s="9" t="s">
        <v>169</v>
      </c>
    </row>
    <row r="10" spans="1:9" s="2" customFormat="1" x14ac:dyDescent="0.2">
      <c r="A10" s="11" t="s">
        <v>170</v>
      </c>
      <c r="B10" s="11"/>
      <c r="C10" s="11"/>
      <c r="D10" s="11"/>
      <c r="E10" s="11"/>
      <c r="F10" s="11"/>
      <c r="G10" s="11"/>
    </row>
    <row r="11" spans="1:9" s="2" customFormat="1" x14ac:dyDescent="0.2">
      <c r="A11" s="11"/>
      <c r="B11" s="11"/>
      <c r="C11" s="11"/>
      <c r="D11" s="11"/>
      <c r="E11" s="11"/>
      <c r="F11" s="11"/>
      <c r="G11" s="11"/>
    </row>
    <row r="13" spans="1:9" s="2" customFormat="1" x14ac:dyDescent="0.2">
      <c r="A13" s="116" t="s">
        <v>171</v>
      </c>
    </row>
    <row r="14" spans="1:9" s="2" customFormat="1" x14ac:dyDescent="0.2">
      <c r="A14" s="116" t="s">
        <v>172</v>
      </c>
    </row>
    <row r="15" spans="1:9" s="2" customFormat="1" x14ac:dyDescent="0.2">
      <c r="A15" s="116" t="s">
        <v>173</v>
      </c>
    </row>
    <row r="17" spans="1:5" s="2" customFormat="1" x14ac:dyDescent="0.2">
      <c r="A17" s="116" t="s">
        <v>174</v>
      </c>
    </row>
    <row r="18" spans="1:5" s="2" customFormat="1" ht="18.75" x14ac:dyDescent="0.35">
      <c r="A18" s="318" t="s">
        <v>256</v>
      </c>
    </row>
    <row r="21" spans="1:5" s="2" customFormat="1" ht="15" x14ac:dyDescent="0.25">
      <c r="A21" s="9" t="s">
        <v>175</v>
      </c>
    </row>
    <row r="22" spans="1:5" s="2" customFormat="1" ht="18" x14ac:dyDescent="0.35">
      <c r="A22" s="319" t="s">
        <v>257</v>
      </c>
    </row>
    <row r="23" spans="1:5" s="2" customFormat="1" ht="15.75" thickBot="1" x14ac:dyDescent="0.3">
      <c r="A23" s="9"/>
    </row>
    <row r="24" spans="1:5" s="2" customFormat="1" x14ac:dyDescent="0.2">
      <c r="A24" s="320" t="s">
        <v>32</v>
      </c>
      <c r="B24" s="321" t="s">
        <v>176</v>
      </c>
      <c r="C24" s="321" t="s">
        <v>177</v>
      </c>
    </row>
    <row r="25" spans="1:5" s="2" customFormat="1" ht="13.5" thickBot="1" x14ac:dyDescent="0.25">
      <c r="A25" s="322"/>
      <c r="B25" s="323" t="s">
        <v>178</v>
      </c>
      <c r="C25" s="323" t="s">
        <v>179</v>
      </c>
    </row>
    <row r="26" spans="1:5" s="2" customFormat="1" x14ac:dyDescent="0.2">
      <c r="A26" s="324" t="s">
        <v>25</v>
      </c>
      <c r="B26" s="325">
        <v>900000</v>
      </c>
      <c r="C26" s="325">
        <v>900000</v>
      </c>
    </row>
    <row r="27" spans="1:5" s="2" customFormat="1" x14ac:dyDescent="0.2">
      <c r="A27" s="326" t="s">
        <v>29</v>
      </c>
      <c r="B27" s="327">
        <v>0</v>
      </c>
      <c r="C27" s="327">
        <v>4000000</v>
      </c>
    </row>
    <row r="28" spans="1:5" s="2" customFormat="1" ht="14.25" x14ac:dyDescent="0.25">
      <c r="A28" s="328" t="s">
        <v>180</v>
      </c>
      <c r="B28" s="329" t="s">
        <v>181</v>
      </c>
      <c r="C28" s="330">
        <v>7.4999999999999997E-2</v>
      </c>
    </row>
    <row r="29" spans="1:5" s="2" customFormat="1" ht="14.25" x14ac:dyDescent="0.25">
      <c r="A29" s="328" t="s">
        <v>182</v>
      </c>
      <c r="B29" s="331">
        <v>0.1</v>
      </c>
      <c r="C29" s="332">
        <v>0.1</v>
      </c>
    </row>
    <row r="30" spans="1:5" s="2" customFormat="1" ht="13.5" thickBot="1" x14ac:dyDescent="0.25">
      <c r="A30" s="326"/>
      <c r="B30" s="333"/>
      <c r="C30" s="333"/>
    </row>
    <row r="31" spans="1:5" s="2" customFormat="1" x14ac:dyDescent="0.2">
      <c r="A31" s="334" t="s">
        <v>183</v>
      </c>
      <c r="B31" s="334"/>
      <c r="C31" s="334"/>
    </row>
    <row r="32" spans="1:5" s="2" customFormat="1" ht="15" thickBot="1" x14ac:dyDescent="0.3">
      <c r="A32" s="335" t="s">
        <v>184</v>
      </c>
      <c r="B32" s="336">
        <f>(B26)/B29</f>
        <v>9000000</v>
      </c>
      <c r="C32" s="336">
        <f>(C26-C27*C28)/C29</f>
        <v>6000000</v>
      </c>
      <c r="E32" s="2" t="s">
        <v>258</v>
      </c>
    </row>
    <row r="33" spans="1:7" s="2" customFormat="1" x14ac:dyDescent="0.2">
      <c r="A33" s="337" t="s">
        <v>185</v>
      </c>
      <c r="B33" s="338"/>
      <c r="C33" s="338"/>
    </row>
    <row r="34" spans="1:7" s="2" customFormat="1" ht="13.5" thickBot="1" x14ac:dyDescent="0.25">
      <c r="A34" s="339" t="s">
        <v>186</v>
      </c>
      <c r="B34" s="340">
        <f>B32+B27</f>
        <v>9000000</v>
      </c>
      <c r="C34" s="341">
        <f>C32+C27</f>
        <v>10000000</v>
      </c>
      <c r="E34" s="2" t="s">
        <v>187</v>
      </c>
    </row>
    <row r="36" spans="1:7" s="2" customFormat="1" x14ac:dyDescent="0.2">
      <c r="A36" s="11" t="s">
        <v>188</v>
      </c>
      <c r="B36" s="11"/>
      <c r="C36" s="11"/>
      <c r="D36" s="11"/>
      <c r="E36" s="11"/>
      <c r="F36" s="11"/>
      <c r="G36" s="11"/>
    </row>
    <row r="37" spans="1:7" s="2" customFormat="1" x14ac:dyDescent="0.2">
      <c r="A37" s="11"/>
      <c r="B37" s="11"/>
      <c r="C37" s="11"/>
      <c r="D37" s="11"/>
      <c r="E37" s="11"/>
      <c r="F37" s="11"/>
      <c r="G37" s="11"/>
    </row>
    <row r="38" spans="1:7" s="2" customFormat="1" ht="13.5" thickBot="1" x14ac:dyDescent="0.25"/>
    <row r="39" spans="1:7" s="2" customFormat="1" x14ac:dyDescent="0.2">
      <c r="A39" s="342"/>
      <c r="B39" s="342"/>
      <c r="C39" s="342" t="s">
        <v>189</v>
      </c>
      <c r="D39" s="142" t="s">
        <v>190</v>
      </c>
      <c r="E39" s="142" t="s">
        <v>191</v>
      </c>
      <c r="F39" s="342"/>
    </row>
    <row r="40" spans="1:7" s="2" customFormat="1" x14ac:dyDescent="0.2">
      <c r="A40" s="155"/>
      <c r="B40" s="146" t="s">
        <v>192</v>
      </c>
      <c r="C40" s="146" t="s">
        <v>193</v>
      </c>
      <c r="D40" s="146" t="s">
        <v>194</v>
      </c>
      <c r="E40" s="146" t="s">
        <v>195</v>
      </c>
      <c r="F40" s="146" t="s">
        <v>192</v>
      </c>
    </row>
    <row r="41" spans="1:7" s="2" customFormat="1" ht="13.5" thickBot="1" x14ac:dyDescent="0.25">
      <c r="A41" s="163"/>
      <c r="B41" s="343" t="s">
        <v>196</v>
      </c>
      <c r="C41" s="343" t="s">
        <v>197</v>
      </c>
      <c r="D41" s="343" t="s">
        <v>198</v>
      </c>
      <c r="E41" s="146" t="s">
        <v>199</v>
      </c>
      <c r="F41" s="146" t="s">
        <v>200</v>
      </c>
    </row>
    <row r="42" spans="1:7" s="2" customFormat="1" x14ac:dyDescent="0.2">
      <c r="A42" s="344" t="s">
        <v>201</v>
      </c>
      <c r="B42" s="345">
        <f>0.1*B32</f>
        <v>900000</v>
      </c>
      <c r="C42" s="345">
        <f>-0.1*C27</f>
        <v>-400000</v>
      </c>
      <c r="D42" s="346">
        <f>100000</f>
        <v>100000</v>
      </c>
      <c r="E42" s="345">
        <f>B42+C42+D42</f>
        <v>600000</v>
      </c>
      <c r="F42" s="347">
        <f>0.1*C32</f>
        <v>600000</v>
      </c>
    </row>
    <row r="43" spans="1:7" s="2" customFormat="1" ht="13.5" thickBot="1" x14ac:dyDescent="0.25">
      <c r="A43" s="348" t="s">
        <v>202</v>
      </c>
      <c r="B43" s="349">
        <f>0.1*B26</f>
        <v>90000</v>
      </c>
      <c r="C43" s="349">
        <f>C28*C42</f>
        <v>-30000</v>
      </c>
      <c r="D43" s="350">
        <f>D42*C28</f>
        <v>7500</v>
      </c>
      <c r="E43" s="349">
        <f>B43+C43+D43</f>
        <v>67500</v>
      </c>
      <c r="F43" s="351">
        <f>0.1*(C26-C28*C27)</f>
        <v>60000</v>
      </c>
    </row>
    <row r="51" spans="1:9" s="2" customFormat="1" x14ac:dyDescent="0.2">
      <c r="F51" s="69"/>
      <c r="I51" s="72"/>
    </row>
    <row r="52" spans="1:9" s="2" customFormat="1" x14ac:dyDescent="0.2">
      <c r="F52" s="69"/>
      <c r="I52" s="72"/>
    </row>
    <row r="53" spans="1:9" s="2" customFormat="1" x14ac:dyDescent="0.2">
      <c r="F53" s="69"/>
      <c r="I53" s="72"/>
    </row>
    <row r="54" spans="1:9" s="2" customFormat="1" ht="14.25" customHeight="1" x14ac:dyDescent="0.2">
      <c r="A54" s="11" t="s">
        <v>259</v>
      </c>
      <c r="B54" s="11"/>
      <c r="C54" s="11"/>
      <c r="D54" s="11"/>
      <c r="E54" s="11"/>
      <c r="F54" s="11"/>
      <c r="G54" s="11"/>
      <c r="I54" s="72"/>
    </row>
    <row r="55" spans="1:9" s="2" customFormat="1" x14ac:dyDescent="0.2">
      <c r="A55" s="11"/>
      <c r="B55" s="11"/>
      <c r="C55" s="11"/>
      <c r="D55" s="11"/>
      <c r="E55" s="11"/>
      <c r="F55" s="11"/>
      <c r="G55" s="11"/>
      <c r="I55" s="72"/>
    </row>
    <row r="56" spans="1:9" s="2" customFormat="1" x14ac:dyDescent="0.2">
      <c r="A56" s="11"/>
      <c r="B56" s="11"/>
      <c r="C56" s="11"/>
      <c r="D56" s="11"/>
      <c r="E56" s="11"/>
      <c r="F56" s="11"/>
      <c r="G56" s="11"/>
      <c r="I56" s="72"/>
    </row>
    <row r="57" spans="1:9" s="2" customFormat="1" x14ac:dyDescent="0.2">
      <c r="A57" s="116"/>
      <c r="F57" s="69"/>
      <c r="I57" s="72"/>
    </row>
    <row r="58" spans="1:9" s="2" customFormat="1" ht="15" x14ac:dyDescent="0.25">
      <c r="A58" s="9" t="s">
        <v>203</v>
      </c>
      <c r="F58" s="69"/>
      <c r="I58" s="72"/>
    </row>
    <row r="59" spans="1:9" s="2" customFormat="1" x14ac:dyDescent="0.2">
      <c r="A59" s="116" t="s">
        <v>204</v>
      </c>
      <c r="F59" s="69"/>
      <c r="I59" s="72"/>
    </row>
    <row r="60" spans="1:9" s="2" customFormat="1" x14ac:dyDescent="0.2">
      <c r="A60" s="116"/>
      <c r="F60" s="69"/>
      <c r="I60" s="72"/>
    </row>
    <row r="61" spans="1:9" s="2" customFormat="1" x14ac:dyDescent="0.2">
      <c r="A61" s="116" t="s">
        <v>205</v>
      </c>
      <c r="F61" s="69"/>
      <c r="I61" s="72"/>
    </row>
    <row r="62" spans="1:9" s="2" customFormat="1" ht="14.25" x14ac:dyDescent="0.25">
      <c r="A62" s="116" t="s">
        <v>260</v>
      </c>
      <c r="F62" s="69"/>
      <c r="I62" s="72"/>
    </row>
    <row r="63" spans="1:9" s="2" customFormat="1" x14ac:dyDescent="0.2">
      <c r="F63" s="69"/>
      <c r="I63" s="72"/>
    </row>
    <row r="64" spans="1:9" s="2" customFormat="1" x14ac:dyDescent="0.2">
      <c r="A64" s="116" t="s">
        <v>206</v>
      </c>
      <c r="F64" s="69"/>
      <c r="I64" s="72"/>
    </row>
    <row r="65" spans="1:10" s="2" customFormat="1" x14ac:dyDescent="0.2">
      <c r="A65" s="116" t="s">
        <v>207</v>
      </c>
      <c r="F65" s="69"/>
      <c r="I65" s="72"/>
    </row>
    <row r="66" spans="1:10" s="2" customFormat="1" ht="14.25" x14ac:dyDescent="0.25">
      <c r="A66" s="352" t="s">
        <v>261</v>
      </c>
      <c r="F66" s="69"/>
      <c r="I66" s="72"/>
    </row>
    <row r="67" spans="1:10" s="2" customFormat="1" ht="13.5" thickBot="1" x14ac:dyDescent="0.25">
      <c r="A67" s="116"/>
      <c r="F67" s="69"/>
      <c r="I67" s="72"/>
    </row>
    <row r="68" spans="1:10" s="2" customFormat="1" x14ac:dyDescent="0.2">
      <c r="A68" s="320" t="s">
        <v>208</v>
      </c>
      <c r="B68" s="353" t="s">
        <v>209</v>
      </c>
      <c r="C68" s="321" t="s">
        <v>209</v>
      </c>
      <c r="D68" s="321" t="s">
        <v>210</v>
      </c>
      <c r="E68" s="321" t="s">
        <v>210</v>
      </c>
      <c r="F68" s="69"/>
      <c r="I68" s="72"/>
    </row>
    <row r="69" spans="1:10" s="2" customFormat="1" ht="13.5" thickBot="1" x14ac:dyDescent="0.25">
      <c r="A69" s="354" t="s">
        <v>211</v>
      </c>
      <c r="B69" s="355" t="s">
        <v>178</v>
      </c>
      <c r="C69" s="323" t="s">
        <v>179</v>
      </c>
      <c r="D69" s="323" t="s">
        <v>178</v>
      </c>
      <c r="E69" s="323" t="s">
        <v>179</v>
      </c>
      <c r="F69" s="69"/>
      <c r="I69" s="72"/>
    </row>
    <row r="70" spans="1:10" s="2" customFormat="1" x14ac:dyDescent="0.2">
      <c r="A70" s="326" t="s">
        <v>25</v>
      </c>
      <c r="B70" s="325">
        <v>2400000</v>
      </c>
      <c r="C70" s="325">
        <f>B70</f>
        <v>2400000</v>
      </c>
      <c r="D70" s="325">
        <v>4000000</v>
      </c>
      <c r="E70" s="325">
        <f>D70</f>
        <v>4000000</v>
      </c>
      <c r="F70" s="69"/>
      <c r="I70" s="72"/>
    </row>
    <row r="71" spans="1:10" s="2" customFormat="1" x14ac:dyDescent="0.2">
      <c r="A71" s="326" t="s">
        <v>29</v>
      </c>
      <c r="B71" s="327">
        <v>0</v>
      </c>
      <c r="C71" s="327">
        <v>10000000</v>
      </c>
      <c r="D71" s="327">
        <v>0</v>
      </c>
      <c r="E71" s="327">
        <v>10000000</v>
      </c>
      <c r="F71" s="69"/>
      <c r="I71" s="72"/>
    </row>
    <row r="72" spans="1:10" s="2" customFormat="1" ht="14.25" x14ac:dyDescent="0.25">
      <c r="A72" s="356" t="s">
        <v>262</v>
      </c>
      <c r="B72" s="329" t="s">
        <v>181</v>
      </c>
      <c r="C72" s="330">
        <v>0.08</v>
      </c>
      <c r="D72" s="330">
        <v>0.08</v>
      </c>
      <c r="E72" s="330">
        <v>0.08</v>
      </c>
      <c r="F72" s="69"/>
      <c r="I72" s="72"/>
    </row>
    <row r="73" spans="1:10" s="2" customFormat="1" ht="14.25" x14ac:dyDescent="0.25">
      <c r="A73" s="356" t="s">
        <v>263</v>
      </c>
      <c r="B73" s="357">
        <v>0.12</v>
      </c>
      <c r="C73" s="358">
        <f>$B$73+($B$73-C72)*(1-C74)*(C71/(C78-C71))</f>
        <v>0.15999999999999998</v>
      </c>
      <c r="D73" s="358">
        <v>0.12</v>
      </c>
      <c r="E73" s="358">
        <f>$B$73+($B$73-E72)*(1-E74)*(E71/(E78-E71))</f>
        <v>0.13714285714285712</v>
      </c>
      <c r="F73" s="69"/>
      <c r="G73" s="359" t="s">
        <v>264</v>
      </c>
      <c r="H73" s="360"/>
      <c r="I73" s="360"/>
      <c r="J73" s="360"/>
    </row>
    <row r="74" spans="1:10" s="2" customFormat="1" ht="13.5" thickBot="1" x14ac:dyDescent="0.25">
      <c r="A74" s="326" t="s">
        <v>4</v>
      </c>
      <c r="B74" s="361">
        <v>0</v>
      </c>
      <c r="C74" s="361">
        <v>0</v>
      </c>
      <c r="D74" s="361">
        <v>0.4</v>
      </c>
      <c r="E74" s="361">
        <v>0.4</v>
      </c>
      <c r="F74" s="69"/>
      <c r="G74" s="360"/>
      <c r="H74" s="360"/>
      <c r="I74" s="360"/>
      <c r="J74" s="360"/>
    </row>
    <row r="75" spans="1:10" s="2" customFormat="1" x14ac:dyDescent="0.2">
      <c r="A75" s="334" t="s">
        <v>183</v>
      </c>
      <c r="B75" s="334"/>
      <c r="C75" s="334"/>
      <c r="D75" s="334"/>
      <c r="E75" s="334"/>
      <c r="F75" s="69"/>
      <c r="G75" s="360"/>
      <c r="H75" s="360"/>
      <c r="I75" s="360"/>
      <c r="J75" s="360"/>
    </row>
    <row r="76" spans="1:10" s="2" customFormat="1" ht="15" thickBot="1" x14ac:dyDescent="0.3">
      <c r="A76" s="335" t="s">
        <v>184</v>
      </c>
      <c r="B76" s="336">
        <f>B70*(1-B74)/B73</f>
        <v>20000000</v>
      </c>
      <c r="C76" s="336">
        <f>(C70-C71*C72)*(1-C74)/C73</f>
        <v>10000000.000000002</v>
      </c>
      <c r="D76" s="336">
        <f>D70*(1-D74)/D73</f>
        <v>20000000</v>
      </c>
      <c r="E76" s="336">
        <f>(E70-E71*E72)*(1-E74)/E73</f>
        <v>14000000.000000002</v>
      </c>
      <c r="F76" s="69"/>
      <c r="G76" s="360" t="s">
        <v>265</v>
      </c>
      <c r="H76" s="360"/>
      <c r="I76" s="360"/>
      <c r="J76" s="360"/>
    </row>
    <row r="77" spans="1:10" s="2" customFormat="1" x14ac:dyDescent="0.2">
      <c r="A77" s="337" t="s">
        <v>185</v>
      </c>
      <c r="B77" s="338"/>
      <c r="C77" s="338"/>
      <c r="D77" s="338"/>
      <c r="E77" s="338"/>
      <c r="F77" s="69"/>
      <c r="G77" s="360"/>
      <c r="H77" s="360"/>
      <c r="I77" s="360"/>
      <c r="J77" s="360"/>
    </row>
    <row r="78" spans="1:10" s="2" customFormat="1" ht="13.5" thickBot="1" x14ac:dyDescent="0.25">
      <c r="A78" s="339" t="s">
        <v>186</v>
      </c>
      <c r="B78" s="340">
        <f>B76</f>
        <v>20000000</v>
      </c>
      <c r="C78" s="340">
        <f>B78+C74*C71</f>
        <v>20000000</v>
      </c>
      <c r="D78" s="340">
        <f>D76</f>
        <v>20000000</v>
      </c>
      <c r="E78" s="340">
        <f>D78+E74*E71</f>
        <v>24000000</v>
      </c>
      <c r="F78" s="69"/>
      <c r="G78" s="360" t="s">
        <v>212</v>
      </c>
      <c r="H78" s="360"/>
      <c r="I78" s="360"/>
      <c r="J78" s="360"/>
    </row>
    <row r="79" spans="1:10" s="2" customFormat="1" ht="15" thickBot="1" x14ac:dyDescent="0.3">
      <c r="A79" s="362" t="s">
        <v>37</v>
      </c>
      <c r="B79" s="363">
        <f>B73</f>
        <v>0.12</v>
      </c>
      <c r="C79" s="363">
        <f>(C71/C78)*C72*(1-C74)+(C76/C78)*C73</f>
        <v>0.12</v>
      </c>
      <c r="D79" s="363">
        <f>(D71/D78)*D72*(1-D74)+(D76/D78)*D73</f>
        <v>0.12</v>
      </c>
      <c r="E79" s="363">
        <f>(E71/E78)*E72*(1-E74)+(E76/E78)*E73</f>
        <v>9.9999999999999992E-2</v>
      </c>
      <c r="F79" s="69"/>
      <c r="G79" s="360" t="s">
        <v>266</v>
      </c>
      <c r="H79" s="360"/>
      <c r="I79" s="360"/>
      <c r="J79" s="360"/>
    </row>
    <row r="80" spans="1:10" s="2" customFormat="1" x14ac:dyDescent="0.2">
      <c r="A80" s="175"/>
      <c r="B80" s="364"/>
      <c r="C80" s="364"/>
      <c r="D80" s="364"/>
      <c r="E80" s="364"/>
      <c r="F80" s="69"/>
      <c r="I80" s="72"/>
    </row>
    <row r="81" spans="1:9" s="2" customFormat="1" x14ac:dyDescent="0.2">
      <c r="A81" s="175"/>
      <c r="B81" s="364"/>
      <c r="C81" s="364"/>
      <c r="D81" s="364"/>
      <c r="E81" s="364"/>
      <c r="F81" s="69"/>
      <c r="I81" s="72"/>
    </row>
    <row r="82" spans="1:9" s="2" customFormat="1" ht="15" x14ac:dyDescent="0.25">
      <c r="A82" s="9" t="s">
        <v>213</v>
      </c>
      <c r="B82" s="364"/>
      <c r="C82" s="364"/>
      <c r="D82" s="364"/>
      <c r="E82" s="364"/>
      <c r="F82" s="69"/>
      <c r="I82" s="72"/>
    </row>
    <row r="83" spans="1:9" s="2" customFormat="1" ht="13.5" thickBot="1" x14ac:dyDescent="0.25">
      <c r="A83" s="175"/>
      <c r="B83" s="364"/>
      <c r="C83" s="364"/>
      <c r="D83" s="364"/>
      <c r="E83" s="364"/>
      <c r="F83" s="69"/>
      <c r="I83" s="72"/>
    </row>
    <row r="84" spans="1:9" s="2" customFormat="1" ht="13.5" thickBot="1" x14ac:dyDescent="0.25">
      <c r="A84" s="365" t="s">
        <v>214</v>
      </c>
      <c r="B84" s="366"/>
      <c r="C84" s="366"/>
      <c r="D84" s="366"/>
      <c r="E84" s="366"/>
      <c r="F84" s="367"/>
      <c r="G84" s="368"/>
      <c r="I84" s="72"/>
    </row>
    <row r="85" spans="1:9" s="2" customFormat="1" ht="15" thickBot="1" x14ac:dyDescent="0.3">
      <c r="A85" s="369" t="s">
        <v>215</v>
      </c>
      <c r="B85" s="370" t="s">
        <v>216</v>
      </c>
      <c r="C85" s="370" t="s">
        <v>217</v>
      </c>
      <c r="D85" s="370" t="s">
        <v>218</v>
      </c>
      <c r="E85" s="371" t="s">
        <v>180</v>
      </c>
      <c r="F85" s="372" t="s">
        <v>182</v>
      </c>
      <c r="G85" s="373" t="s">
        <v>37</v>
      </c>
      <c r="I85" s="72"/>
    </row>
    <row r="86" spans="1:9" s="2" customFormat="1" x14ac:dyDescent="0.2">
      <c r="A86" s="374">
        <v>0</v>
      </c>
      <c r="B86" s="375">
        <v>20</v>
      </c>
      <c r="C86" s="376">
        <f>B86-A86</f>
        <v>20</v>
      </c>
      <c r="D86" s="377">
        <f>A86/B86</f>
        <v>0</v>
      </c>
      <c r="E86" s="378">
        <v>0.08</v>
      </c>
      <c r="F86" s="379">
        <v>0.12</v>
      </c>
      <c r="G86" s="379">
        <f>F86*(C86/B86)+E86*D86</f>
        <v>0.12</v>
      </c>
      <c r="I86" s="72"/>
    </row>
    <row r="87" spans="1:9" s="2" customFormat="1" x14ac:dyDescent="0.2">
      <c r="A87" s="333">
        <v>5</v>
      </c>
      <c r="B87" s="380">
        <f>B86</f>
        <v>20</v>
      </c>
      <c r="C87" s="380">
        <f>B87-A87</f>
        <v>15</v>
      </c>
      <c r="D87" s="381">
        <f>A87/B87</f>
        <v>0.25</v>
      </c>
      <c r="E87" s="382">
        <f>E86</f>
        <v>0.08</v>
      </c>
      <c r="F87" s="382">
        <f>$F$86+($F$86-E87)*(A87/C87)</f>
        <v>0.13333333333333333</v>
      </c>
      <c r="G87" s="383">
        <f>F87*(C87/B87)+E87*D87</f>
        <v>0.12000000000000001</v>
      </c>
      <c r="I87" s="72"/>
    </row>
    <row r="88" spans="1:9" s="2" customFormat="1" x14ac:dyDescent="0.2">
      <c r="A88" s="333">
        <v>10</v>
      </c>
      <c r="B88" s="380">
        <f>B87</f>
        <v>20</v>
      </c>
      <c r="C88" s="380">
        <f>B88-A88</f>
        <v>10</v>
      </c>
      <c r="D88" s="381">
        <f>A88/B88</f>
        <v>0.5</v>
      </c>
      <c r="E88" s="382">
        <f>E87</f>
        <v>0.08</v>
      </c>
      <c r="F88" s="382">
        <f>$F$86+($F$86-E88)*(A88/C88)</f>
        <v>0.15999999999999998</v>
      </c>
      <c r="G88" s="383">
        <f>F88*(C88/B88)+E88*D88</f>
        <v>0.12</v>
      </c>
      <c r="I88" s="72"/>
    </row>
    <row r="89" spans="1:9" s="2" customFormat="1" x14ac:dyDescent="0.2">
      <c r="A89" s="333">
        <v>15</v>
      </c>
      <c r="B89" s="380">
        <f>B88</f>
        <v>20</v>
      </c>
      <c r="C89" s="380">
        <f>B89-A89</f>
        <v>5</v>
      </c>
      <c r="D89" s="381">
        <f>A89/B89</f>
        <v>0.75</v>
      </c>
      <c r="E89" s="382">
        <f>E88</f>
        <v>0.08</v>
      </c>
      <c r="F89" s="382">
        <f>$F$86+($F$86-E89)*(A89/C89)</f>
        <v>0.24</v>
      </c>
      <c r="G89" s="383">
        <f>F89*(C89/B89)+E89*D89</f>
        <v>0.12</v>
      </c>
      <c r="I89" s="72"/>
    </row>
    <row r="90" spans="1:9" s="2" customFormat="1" ht="13.5" thickBot="1" x14ac:dyDescent="0.25">
      <c r="A90" s="384">
        <v>20</v>
      </c>
      <c r="B90" s="385">
        <f>B89</f>
        <v>20</v>
      </c>
      <c r="C90" s="385">
        <f>B90-A90</f>
        <v>0</v>
      </c>
      <c r="D90" s="386">
        <f>A90/B90</f>
        <v>1</v>
      </c>
      <c r="E90" s="387">
        <v>0.08</v>
      </c>
      <c r="F90" s="387"/>
      <c r="G90" s="388">
        <v>0.12</v>
      </c>
      <c r="I90" s="72"/>
    </row>
    <row r="91" spans="1:9" s="2" customFormat="1" x14ac:dyDescent="0.2">
      <c r="A91" s="175"/>
      <c r="B91" s="364"/>
      <c r="C91" s="364"/>
      <c r="D91" s="364"/>
      <c r="E91" s="364"/>
      <c r="F91" s="69"/>
      <c r="I91" s="72"/>
    </row>
    <row r="92" spans="1:9" s="2" customFormat="1" x14ac:dyDescent="0.2">
      <c r="A92" s="175"/>
      <c r="B92" s="364"/>
      <c r="C92" s="364"/>
      <c r="D92" s="364"/>
      <c r="E92" s="364"/>
      <c r="F92" s="69"/>
      <c r="I92" s="72"/>
    </row>
    <row r="93" spans="1:9" s="2" customFormat="1" x14ac:dyDescent="0.2">
      <c r="A93" s="175"/>
      <c r="B93" s="364"/>
      <c r="C93" s="364"/>
      <c r="D93" s="364"/>
      <c r="E93" s="364"/>
      <c r="F93" s="69"/>
      <c r="I93" s="72"/>
    </row>
    <row r="94" spans="1:9" s="2" customFormat="1" x14ac:dyDescent="0.2">
      <c r="A94" s="175"/>
      <c r="B94" s="364"/>
      <c r="C94" s="364"/>
      <c r="D94" s="364"/>
      <c r="E94" s="364"/>
      <c r="F94" s="69"/>
      <c r="I94" s="72"/>
    </row>
    <row r="95" spans="1:9" s="2" customFormat="1" x14ac:dyDescent="0.2">
      <c r="A95" s="175"/>
      <c r="B95" s="364"/>
      <c r="C95" s="364"/>
      <c r="D95" s="364"/>
      <c r="E95" s="364"/>
      <c r="F95" s="69"/>
      <c r="I95" s="72"/>
    </row>
    <row r="96" spans="1:9" s="2" customFormat="1" x14ac:dyDescent="0.2">
      <c r="A96" s="175"/>
      <c r="B96" s="364"/>
      <c r="C96" s="364"/>
      <c r="D96" s="364"/>
      <c r="E96" s="364"/>
      <c r="F96" s="69"/>
      <c r="I96" s="72"/>
    </row>
    <row r="97" spans="1:9" s="2" customFormat="1" x14ac:dyDescent="0.2">
      <c r="A97" s="175"/>
      <c r="B97" s="364"/>
      <c r="C97" s="364"/>
      <c r="D97" s="364"/>
      <c r="E97" s="364"/>
      <c r="F97" s="69"/>
      <c r="I97" s="72"/>
    </row>
    <row r="98" spans="1:9" s="2" customFormat="1" x14ac:dyDescent="0.2">
      <c r="A98" s="175"/>
      <c r="B98" s="364"/>
      <c r="C98" s="364"/>
      <c r="D98" s="364"/>
      <c r="E98" s="364"/>
      <c r="F98" s="69"/>
      <c r="I98" s="72"/>
    </row>
    <row r="99" spans="1:9" s="2" customFormat="1" x14ac:dyDescent="0.2">
      <c r="A99" s="175"/>
      <c r="B99" s="364"/>
      <c r="C99" s="364"/>
      <c r="D99" s="364"/>
      <c r="E99" s="364"/>
      <c r="F99" s="69"/>
      <c r="I99" s="72"/>
    </row>
    <row r="100" spans="1:9" s="2" customFormat="1" x14ac:dyDescent="0.2">
      <c r="A100" s="175"/>
      <c r="B100" s="364"/>
      <c r="C100" s="364"/>
      <c r="D100" s="364"/>
      <c r="E100" s="364"/>
      <c r="F100" s="69"/>
      <c r="I100" s="72"/>
    </row>
    <row r="101" spans="1:9" s="2" customFormat="1" x14ac:dyDescent="0.2">
      <c r="A101" s="175"/>
      <c r="B101" s="364"/>
      <c r="C101" s="364"/>
      <c r="D101" s="364"/>
      <c r="E101" s="364"/>
      <c r="F101" s="69"/>
      <c r="I101" s="72"/>
    </row>
    <row r="102" spans="1:9" s="2" customFormat="1" x14ac:dyDescent="0.2">
      <c r="A102" s="175"/>
      <c r="B102" s="364"/>
      <c r="C102" s="364"/>
      <c r="D102" s="364"/>
      <c r="E102" s="364"/>
      <c r="F102" s="69"/>
      <c r="I102" s="72"/>
    </row>
    <row r="103" spans="1:9" s="2" customFormat="1" x14ac:dyDescent="0.2">
      <c r="A103" s="175"/>
      <c r="B103" s="364"/>
      <c r="C103" s="364"/>
      <c r="D103" s="364"/>
      <c r="E103" s="364"/>
      <c r="F103" s="69"/>
      <c r="I103" s="72"/>
    </row>
    <row r="104" spans="1:9" s="2" customFormat="1" x14ac:dyDescent="0.2">
      <c r="A104" s="175"/>
      <c r="B104" s="364"/>
      <c r="C104" s="364"/>
      <c r="D104" s="364"/>
      <c r="E104" s="364"/>
      <c r="F104" s="69"/>
      <c r="I104" s="72"/>
    </row>
    <row r="105" spans="1:9" s="2" customFormat="1" x14ac:dyDescent="0.2">
      <c r="A105" s="175"/>
      <c r="B105" s="364"/>
      <c r="C105" s="364"/>
      <c r="D105" s="364"/>
      <c r="E105" s="364"/>
      <c r="F105" s="69"/>
      <c r="I105" s="72"/>
    </row>
    <row r="106" spans="1:9" s="2" customFormat="1" x14ac:dyDescent="0.2">
      <c r="A106" s="175"/>
      <c r="B106" s="364"/>
      <c r="C106" s="364"/>
      <c r="D106" s="364"/>
      <c r="E106" s="364"/>
      <c r="F106" s="69"/>
      <c r="I106" s="72"/>
    </row>
    <row r="107" spans="1:9" s="2" customFormat="1" x14ac:dyDescent="0.2">
      <c r="A107" s="175"/>
      <c r="B107" s="364"/>
      <c r="C107" s="364"/>
      <c r="D107" s="364"/>
      <c r="E107" s="364"/>
      <c r="F107" s="69"/>
      <c r="I107" s="72"/>
    </row>
    <row r="108" spans="1:9" s="2" customFormat="1" x14ac:dyDescent="0.2">
      <c r="A108" s="175"/>
      <c r="B108" s="364"/>
      <c r="C108" s="364"/>
      <c r="D108" s="364"/>
      <c r="E108" s="364"/>
      <c r="F108" s="69"/>
      <c r="I108" s="72"/>
    </row>
    <row r="109" spans="1:9" s="2" customFormat="1" x14ac:dyDescent="0.2">
      <c r="A109" s="175"/>
      <c r="B109" s="364"/>
      <c r="C109" s="364"/>
      <c r="D109" s="364"/>
      <c r="E109" s="364"/>
      <c r="F109" s="69"/>
      <c r="I109" s="72"/>
    </row>
    <row r="110" spans="1:9" s="2" customFormat="1" x14ac:dyDescent="0.2">
      <c r="A110" s="175"/>
      <c r="B110" s="364"/>
      <c r="C110" s="364"/>
      <c r="D110" s="364"/>
      <c r="E110" s="364"/>
      <c r="F110" s="69"/>
      <c r="I110" s="72"/>
    </row>
    <row r="111" spans="1:9" s="2" customFormat="1" ht="13.5" thickBot="1" x14ac:dyDescent="0.25">
      <c r="A111" s="175"/>
      <c r="B111" s="364"/>
      <c r="C111" s="364"/>
      <c r="D111" s="364"/>
      <c r="E111" s="364"/>
      <c r="F111" s="69"/>
      <c r="I111" s="72"/>
    </row>
    <row r="112" spans="1:9" s="2" customFormat="1" x14ac:dyDescent="0.2">
      <c r="A112" s="389" t="s">
        <v>219</v>
      </c>
      <c r="B112" s="390"/>
      <c r="C112" s="390"/>
      <c r="D112" s="390"/>
      <c r="E112" s="390"/>
      <c r="F112" s="390"/>
      <c r="G112" s="391"/>
      <c r="H112" s="392"/>
      <c r="I112" s="72"/>
    </row>
    <row r="113" spans="1:9" s="2" customFormat="1" ht="15" thickBot="1" x14ac:dyDescent="0.3">
      <c r="A113" s="393" t="s">
        <v>267</v>
      </c>
      <c r="B113" s="394">
        <v>0.4</v>
      </c>
      <c r="C113" s="394"/>
      <c r="D113" s="394"/>
      <c r="E113" s="394"/>
      <c r="F113" s="394"/>
      <c r="G113" s="395"/>
      <c r="H113" s="396"/>
      <c r="I113" s="72"/>
    </row>
    <row r="114" spans="1:9" s="2" customFormat="1" ht="13.5" thickBot="1" x14ac:dyDescent="0.25">
      <c r="A114" s="397" t="s">
        <v>215</v>
      </c>
      <c r="B114" s="370" t="s">
        <v>216</v>
      </c>
      <c r="C114" s="370" t="s">
        <v>217</v>
      </c>
      <c r="D114" s="370" t="s">
        <v>218</v>
      </c>
      <c r="E114" s="398" t="s">
        <v>180</v>
      </c>
      <c r="F114" s="398" t="s">
        <v>220</v>
      </c>
      <c r="G114" s="373" t="s">
        <v>182</v>
      </c>
      <c r="H114" s="399" t="s">
        <v>37</v>
      </c>
      <c r="I114" s="72"/>
    </row>
    <row r="115" spans="1:9" s="2" customFormat="1" x14ac:dyDescent="0.2">
      <c r="A115" s="374">
        <v>0</v>
      </c>
      <c r="B115" s="400">
        <v>20</v>
      </c>
      <c r="C115" s="401">
        <f>B115-A115</f>
        <v>20</v>
      </c>
      <c r="D115" s="402">
        <f>A115/B115</f>
        <v>0</v>
      </c>
      <c r="E115" s="403">
        <v>0.08</v>
      </c>
      <c r="F115" s="403">
        <f>8%*(1-B113)</f>
        <v>4.8000000000000001E-2</v>
      </c>
      <c r="G115" s="404">
        <v>0.12</v>
      </c>
      <c r="H115" s="404">
        <f>G115*(C115/B115)+E115*D115*(1-$B$113)</f>
        <v>0.12</v>
      </c>
      <c r="I115" s="72"/>
    </row>
    <row r="116" spans="1:9" s="2" customFormat="1" x14ac:dyDescent="0.2">
      <c r="A116" s="333">
        <v>5</v>
      </c>
      <c r="B116" s="405">
        <f>$B$115+A116*$B$113</f>
        <v>22</v>
      </c>
      <c r="C116" s="406">
        <f t="shared" ref="C116:C122" si="0">B116-A116</f>
        <v>17</v>
      </c>
      <c r="D116" s="407">
        <f t="shared" ref="D116:D122" si="1">A116/B116</f>
        <v>0.22727272727272727</v>
      </c>
      <c r="E116" s="408">
        <f>E115</f>
        <v>0.08</v>
      </c>
      <c r="F116" s="408">
        <f>F115</f>
        <v>4.8000000000000001E-2</v>
      </c>
      <c r="G116" s="408">
        <f t="shared" ref="G116:G121" si="2">$F$86+($G$115-E116)*(1-$B$113)*(A116/C116)</f>
        <v>0.12705882352941175</v>
      </c>
      <c r="H116" s="409">
        <f t="shared" ref="H116:H121" si="3">G116*(C116/B116)+E116*D116*(1-$B$113)</f>
        <v>0.10909090909090909</v>
      </c>
      <c r="I116" s="72"/>
    </row>
    <row r="117" spans="1:9" s="2" customFormat="1" x14ac:dyDescent="0.2">
      <c r="A117" s="333">
        <v>10</v>
      </c>
      <c r="B117" s="405">
        <f t="shared" ref="B117:B122" si="4">$B$115+A117*$B$113</f>
        <v>24</v>
      </c>
      <c r="C117" s="406">
        <f t="shared" si="0"/>
        <v>14</v>
      </c>
      <c r="D117" s="407">
        <f t="shared" si="1"/>
        <v>0.41666666666666669</v>
      </c>
      <c r="E117" s="408">
        <f t="shared" ref="E117:F122" si="5">E116</f>
        <v>0.08</v>
      </c>
      <c r="F117" s="408">
        <f t="shared" si="5"/>
        <v>4.8000000000000001E-2</v>
      </c>
      <c r="G117" s="408">
        <f t="shared" si="2"/>
        <v>0.13714285714285712</v>
      </c>
      <c r="H117" s="409">
        <f t="shared" si="3"/>
        <v>9.9999999999999992E-2</v>
      </c>
      <c r="I117" s="72"/>
    </row>
    <row r="118" spans="1:9" s="2" customFormat="1" x14ac:dyDescent="0.2">
      <c r="A118" s="333">
        <v>15</v>
      </c>
      <c r="B118" s="405">
        <f t="shared" si="4"/>
        <v>26</v>
      </c>
      <c r="C118" s="406">
        <f t="shared" si="0"/>
        <v>11</v>
      </c>
      <c r="D118" s="407">
        <f t="shared" si="1"/>
        <v>0.57692307692307687</v>
      </c>
      <c r="E118" s="408">
        <f t="shared" si="5"/>
        <v>0.08</v>
      </c>
      <c r="F118" s="408">
        <f t="shared" si="5"/>
        <v>4.8000000000000001E-2</v>
      </c>
      <c r="G118" s="408">
        <f t="shared" si="2"/>
        <v>0.15272727272727271</v>
      </c>
      <c r="H118" s="409">
        <f t="shared" si="3"/>
        <v>9.2307692307692285E-2</v>
      </c>
      <c r="I118" s="72"/>
    </row>
    <row r="119" spans="1:9" s="2" customFormat="1" x14ac:dyDescent="0.2">
      <c r="A119" s="333">
        <v>20</v>
      </c>
      <c r="B119" s="405">
        <f t="shared" si="4"/>
        <v>28</v>
      </c>
      <c r="C119" s="406">
        <f t="shared" si="0"/>
        <v>8</v>
      </c>
      <c r="D119" s="407">
        <f t="shared" si="1"/>
        <v>0.7142857142857143</v>
      </c>
      <c r="E119" s="408">
        <f t="shared" si="5"/>
        <v>0.08</v>
      </c>
      <c r="F119" s="408">
        <f t="shared" si="5"/>
        <v>4.8000000000000001E-2</v>
      </c>
      <c r="G119" s="408">
        <f t="shared" si="2"/>
        <v>0.18</v>
      </c>
      <c r="H119" s="409">
        <f t="shared" si="3"/>
        <v>8.5714285714285715E-2</v>
      </c>
      <c r="I119" s="72"/>
    </row>
    <row r="120" spans="1:9" s="2" customFormat="1" x14ac:dyDescent="0.2">
      <c r="A120" s="333">
        <v>25</v>
      </c>
      <c r="B120" s="405">
        <f t="shared" si="4"/>
        <v>30</v>
      </c>
      <c r="C120" s="406">
        <f t="shared" si="0"/>
        <v>5</v>
      </c>
      <c r="D120" s="407">
        <f t="shared" si="1"/>
        <v>0.83333333333333337</v>
      </c>
      <c r="E120" s="408">
        <f t="shared" si="5"/>
        <v>0.08</v>
      </c>
      <c r="F120" s="408">
        <f t="shared" si="5"/>
        <v>4.8000000000000001E-2</v>
      </c>
      <c r="G120" s="408">
        <f t="shared" si="2"/>
        <v>0.24</v>
      </c>
      <c r="H120" s="409">
        <f t="shared" si="3"/>
        <v>7.9999999999999988E-2</v>
      </c>
      <c r="I120" s="72"/>
    </row>
    <row r="121" spans="1:9" s="2" customFormat="1" x14ac:dyDescent="0.2">
      <c r="A121" s="333">
        <v>30</v>
      </c>
      <c r="B121" s="405">
        <f t="shared" si="4"/>
        <v>32</v>
      </c>
      <c r="C121" s="406">
        <f t="shared" si="0"/>
        <v>2</v>
      </c>
      <c r="D121" s="407">
        <f t="shared" si="1"/>
        <v>0.9375</v>
      </c>
      <c r="E121" s="408">
        <f t="shared" si="5"/>
        <v>0.08</v>
      </c>
      <c r="F121" s="408">
        <f t="shared" si="5"/>
        <v>4.8000000000000001E-2</v>
      </c>
      <c r="G121" s="408">
        <f t="shared" si="2"/>
        <v>0.47999999999999993</v>
      </c>
      <c r="H121" s="409">
        <f t="shared" si="3"/>
        <v>7.4999999999999997E-2</v>
      </c>
      <c r="I121" s="72"/>
    </row>
    <row r="122" spans="1:9" s="2" customFormat="1" ht="13.5" thickBot="1" x14ac:dyDescent="0.25">
      <c r="A122" s="384">
        <v>33.33</v>
      </c>
      <c r="B122" s="410">
        <f t="shared" si="4"/>
        <v>33.332000000000001</v>
      </c>
      <c r="C122" s="411">
        <f t="shared" si="0"/>
        <v>2.0000000000024443E-3</v>
      </c>
      <c r="D122" s="412">
        <f t="shared" si="1"/>
        <v>0.99993999759990393</v>
      </c>
      <c r="E122" s="413">
        <v>0.08</v>
      </c>
      <c r="F122" s="413">
        <f t="shared" si="5"/>
        <v>4.8000000000000001E-2</v>
      </c>
      <c r="G122" s="413"/>
      <c r="H122" s="414">
        <f>G115*(1-B113)</f>
        <v>7.1999999999999995E-2</v>
      </c>
      <c r="I122" s="72"/>
    </row>
    <row r="123" spans="1:9" s="2" customFormat="1" x14ac:dyDescent="0.2">
      <c r="A123" s="175"/>
      <c r="B123" s="364"/>
      <c r="C123" s="364"/>
      <c r="D123" s="364"/>
      <c r="E123" s="364"/>
      <c r="F123" s="69"/>
      <c r="I123" s="72"/>
    </row>
    <row r="124" spans="1:9" s="2" customFormat="1" x14ac:dyDescent="0.2">
      <c r="A124" s="175"/>
      <c r="B124" s="364"/>
      <c r="C124" s="364"/>
      <c r="D124" s="364"/>
      <c r="E124" s="364"/>
      <c r="F124" s="69"/>
      <c r="I124" s="72"/>
    </row>
    <row r="125" spans="1:9" s="2" customFormat="1" x14ac:dyDescent="0.2">
      <c r="A125" s="175"/>
      <c r="B125" s="364"/>
      <c r="C125" s="364"/>
      <c r="D125" s="364"/>
      <c r="E125" s="364"/>
      <c r="F125" s="69"/>
      <c r="I125" s="72"/>
    </row>
    <row r="126" spans="1:9" s="2" customFormat="1" x14ac:dyDescent="0.2">
      <c r="A126" s="175"/>
      <c r="B126" s="364"/>
      <c r="C126" s="364"/>
      <c r="D126" s="364"/>
      <c r="E126" s="364"/>
      <c r="F126" s="69"/>
      <c r="I126" s="72"/>
    </row>
    <row r="127" spans="1:9" s="2" customFormat="1" x14ac:dyDescent="0.2">
      <c r="A127" s="175"/>
      <c r="B127" s="364"/>
      <c r="C127" s="364"/>
      <c r="D127" s="364"/>
      <c r="E127" s="364"/>
      <c r="F127" s="69"/>
      <c r="I127" s="72"/>
    </row>
    <row r="128" spans="1:9" s="2" customFormat="1" x14ac:dyDescent="0.2">
      <c r="A128" s="175"/>
      <c r="B128" s="364"/>
      <c r="C128" s="364"/>
      <c r="D128" s="364"/>
      <c r="E128" s="364"/>
      <c r="F128" s="69"/>
      <c r="I128" s="72"/>
    </row>
    <row r="129" spans="1:9" s="2" customFormat="1" x14ac:dyDescent="0.2">
      <c r="A129" s="175"/>
      <c r="B129" s="364"/>
      <c r="C129" s="364"/>
      <c r="D129" s="364"/>
      <c r="E129" s="364"/>
      <c r="F129" s="69"/>
      <c r="I129" s="72"/>
    </row>
    <row r="130" spans="1:9" s="2" customFormat="1" x14ac:dyDescent="0.2">
      <c r="A130" s="175"/>
      <c r="B130" s="364"/>
      <c r="C130" s="364"/>
      <c r="D130" s="364"/>
      <c r="E130" s="364"/>
      <c r="F130" s="69"/>
      <c r="I130" s="72"/>
    </row>
    <row r="131" spans="1:9" s="2" customFormat="1" x14ac:dyDescent="0.2">
      <c r="A131" s="175"/>
      <c r="B131" s="364"/>
      <c r="C131" s="364"/>
      <c r="D131" s="364"/>
      <c r="E131" s="364"/>
      <c r="F131" s="69"/>
      <c r="I131" s="72"/>
    </row>
    <row r="132" spans="1:9" s="2" customFormat="1" x14ac:dyDescent="0.2">
      <c r="A132" s="175"/>
      <c r="B132" s="364"/>
      <c r="C132" s="364"/>
      <c r="D132" s="364"/>
      <c r="E132" s="364"/>
      <c r="F132" s="69"/>
      <c r="I132" s="72"/>
    </row>
    <row r="133" spans="1:9" s="2" customFormat="1" x14ac:dyDescent="0.2">
      <c r="A133" s="175"/>
      <c r="B133" s="364"/>
      <c r="C133" s="364"/>
      <c r="D133" s="364"/>
      <c r="E133" s="364"/>
      <c r="F133" s="69"/>
      <c r="I133" s="72"/>
    </row>
    <row r="134" spans="1:9" s="2" customFormat="1" x14ac:dyDescent="0.2">
      <c r="A134" s="175"/>
      <c r="B134" s="364"/>
      <c r="C134" s="364"/>
      <c r="D134" s="364"/>
      <c r="E134" s="364"/>
      <c r="F134" s="69"/>
      <c r="I134" s="72"/>
    </row>
    <row r="135" spans="1:9" s="2" customFormat="1" x14ac:dyDescent="0.2">
      <c r="A135" s="175"/>
      <c r="B135" s="364"/>
      <c r="C135" s="364"/>
      <c r="D135" s="364"/>
      <c r="E135" s="364"/>
      <c r="F135" s="69"/>
      <c r="I135" s="72"/>
    </row>
    <row r="136" spans="1:9" s="2" customFormat="1" x14ac:dyDescent="0.2">
      <c r="A136" s="175"/>
      <c r="B136" s="364"/>
      <c r="C136" s="364"/>
      <c r="D136" s="364"/>
      <c r="E136" s="364"/>
      <c r="F136" s="69"/>
      <c r="I136" s="72"/>
    </row>
    <row r="137" spans="1:9" s="2" customFormat="1" x14ac:dyDescent="0.2">
      <c r="A137" s="175"/>
      <c r="B137" s="364"/>
      <c r="C137" s="364"/>
      <c r="D137" s="364"/>
      <c r="E137" s="364"/>
      <c r="F137" s="69"/>
      <c r="I137" s="72"/>
    </row>
    <row r="138" spans="1:9" s="2" customFormat="1" x14ac:dyDescent="0.2">
      <c r="A138" s="175"/>
      <c r="B138" s="364"/>
      <c r="C138" s="364"/>
      <c r="D138" s="364"/>
      <c r="E138" s="364"/>
      <c r="F138" s="69"/>
      <c r="I138" s="72"/>
    </row>
    <row r="139" spans="1:9" s="2" customFormat="1" x14ac:dyDescent="0.2">
      <c r="A139" s="175"/>
      <c r="B139" s="364"/>
      <c r="C139" s="364"/>
      <c r="D139" s="364"/>
      <c r="E139" s="364"/>
      <c r="F139" s="69"/>
      <c r="I139" s="72"/>
    </row>
    <row r="140" spans="1:9" s="2" customFormat="1" x14ac:dyDescent="0.2">
      <c r="A140" s="175"/>
      <c r="B140" s="364"/>
      <c r="C140" s="364"/>
      <c r="D140" s="364"/>
      <c r="E140" s="364"/>
      <c r="F140" s="69"/>
      <c r="I140" s="72"/>
    </row>
    <row r="141" spans="1:9" s="2" customFormat="1" x14ac:dyDescent="0.2">
      <c r="A141" s="175"/>
      <c r="B141" s="364"/>
      <c r="C141" s="364"/>
      <c r="D141" s="364"/>
      <c r="E141" s="364"/>
      <c r="F141" s="69"/>
      <c r="I141" s="72"/>
    </row>
    <row r="142" spans="1:9" s="2" customFormat="1" x14ac:dyDescent="0.2">
      <c r="A142" s="175"/>
      <c r="B142" s="364"/>
      <c r="C142" s="364"/>
      <c r="D142" s="364"/>
      <c r="E142" s="364"/>
      <c r="F142" s="69"/>
      <c r="I142" s="72"/>
    </row>
    <row r="143" spans="1:9" s="2" customFormat="1" x14ac:dyDescent="0.2">
      <c r="A143" s="175"/>
      <c r="B143" s="364"/>
      <c r="C143" s="364"/>
      <c r="D143" s="364"/>
      <c r="E143" s="364"/>
      <c r="F143" s="69"/>
      <c r="I143" s="72"/>
    </row>
    <row r="144" spans="1:9" s="2" customFormat="1" x14ac:dyDescent="0.2">
      <c r="A144" s="175"/>
      <c r="B144" s="364"/>
      <c r="C144" s="364"/>
      <c r="D144" s="364"/>
      <c r="E144" s="364"/>
      <c r="F144" s="69"/>
      <c r="I144" s="72"/>
    </row>
    <row r="145" spans="1:9" s="2" customFormat="1" x14ac:dyDescent="0.2">
      <c r="A145" s="175"/>
      <c r="B145" s="364"/>
      <c r="C145" s="364"/>
      <c r="D145" s="364"/>
      <c r="E145" s="364"/>
      <c r="F145" s="69"/>
      <c r="I145" s="72"/>
    </row>
    <row r="146" spans="1:9" s="2" customFormat="1" x14ac:dyDescent="0.2">
      <c r="F146" s="69"/>
      <c r="I146" s="72"/>
    </row>
    <row r="147" spans="1:9" s="2" customFormat="1" ht="15" x14ac:dyDescent="0.25">
      <c r="A147" s="9" t="s">
        <v>221</v>
      </c>
      <c r="B147" s="175"/>
      <c r="C147" s="415"/>
      <c r="F147" s="69"/>
      <c r="I147" s="72"/>
    </row>
    <row r="148" spans="1:9" s="2" customFormat="1" ht="14.25" customHeight="1" x14ac:dyDescent="0.2">
      <c r="A148" s="11" t="s">
        <v>268</v>
      </c>
      <c r="B148" s="11"/>
      <c r="C148" s="11"/>
      <c r="D148" s="11"/>
      <c r="E148" s="11"/>
      <c r="F148" s="11"/>
      <c r="G148" s="11"/>
      <c r="I148" s="72"/>
    </row>
    <row r="149" spans="1:9" s="2" customFormat="1" x14ac:dyDescent="0.2">
      <c r="A149" s="11"/>
      <c r="B149" s="11"/>
      <c r="C149" s="11"/>
      <c r="D149" s="11"/>
      <c r="E149" s="11"/>
      <c r="F149" s="11"/>
      <c r="G149" s="11"/>
      <c r="I149" s="72"/>
    </row>
    <row r="150" spans="1:9" s="2" customFormat="1" x14ac:dyDescent="0.2">
      <c r="B150" s="175"/>
      <c r="C150" s="415"/>
      <c r="F150" s="69"/>
      <c r="I150" s="72"/>
    </row>
    <row r="151" spans="1:9" s="2" customFormat="1" x14ac:dyDescent="0.2">
      <c r="B151" s="175"/>
      <c r="C151" s="415"/>
      <c r="F151" s="69"/>
      <c r="I151" s="72"/>
    </row>
    <row r="152" spans="1:9" s="2" customFormat="1" x14ac:dyDescent="0.2">
      <c r="B152" s="175"/>
      <c r="C152" s="415"/>
      <c r="F152" s="69"/>
      <c r="I152" s="72"/>
    </row>
    <row r="153" spans="1:9" s="2" customFormat="1" x14ac:dyDescent="0.2">
      <c r="B153" s="175"/>
      <c r="C153" s="415"/>
      <c r="F153" s="69"/>
      <c r="I153" s="72"/>
    </row>
    <row r="154" spans="1:9" s="2" customFormat="1" x14ac:dyDescent="0.2">
      <c r="B154" s="175"/>
      <c r="C154" s="415"/>
      <c r="F154" s="69"/>
      <c r="I154" s="72"/>
    </row>
    <row r="155" spans="1:9" s="2" customFormat="1" x14ac:dyDescent="0.2">
      <c r="A155" s="116" t="s">
        <v>222</v>
      </c>
      <c r="B155" s="175"/>
      <c r="C155" s="415"/>
      <c r="F155" s="69"/>
      <c r="I155" s="72"/>
    </row>
    <row r="156" spans="1:9" s="2" customFormat="1" x14ac:dyDescent="0.2">
      <c r="B156" s="175"/>
      <c r="C156" s="415"/>
      <c r="F156" s="69"/>
      <c r="I156" s="72"/>
    </row>
    <row r="157" spans="1:9" s="2" customFormat="1" x14ac:dyDescent="0.2">
      <c r="B157" s="175"/>
      <c r="C157" s="415"/>
      <c r="F157" s="69"/>
      <c r="I157" s="72"/>
    </row>
    <row r="158" spans="1:9" s="2" customFormat="1" x14ac:dyDescent="0.2">
      <c r="B158" s="175"/>
      <c r="C158" s="415"/>
      <c r="F158" s="69"/>
      <c r="I158" s="72"/>
    </row>
    <row r="159" spans="1:9" s="2" customFormat="1" x14ac:dyDescent="0.2">
      <c r="B159" s="175"/>
      <c r="C159" s="415"/>
      <c r="F159" s="69"/>
      <c r="I159" s="72"/>
    </row>
    <row r="160" spans="1:9" s="2" customFormat="1" x14ac:dyDescent="0.2">
      <c r="B160" s="175"/>
      <c r="C160" s="415"/>
      <c r="F160" s="69"/>
      <c r="I160" s="72"/>
    </row>
    <row r="161" spans="1:9" s="2" customFormat="1" x14ac:dyDescent="0.2">
      <c r="A161" s="116" t="s">
        <v>223</v>
      </c>
      <c r="B161" s="175"/>
      <c r="C161" s="415"/>
      <c r="F161" s="69"/>
      <c r="I161" s="72"/>
    </row>
    <row r="162" spans="1:9" s="2" customFormat="1" ht="13.5" thickBot="1" x14ac:dyDescent="0.25">
      <c r="A162" s="116"/>
      <c r="B162" s="175"/>
      <c r="C162" s="415"/>
      <c r="F162" s="69"/>
      <c r="I162" s="72"/>
    </row>
    <row r="163" spans="1:9" s="2" customFormat="1" ht="14.25" x14ac:dyDescent="0.25">
      <c r="A163" s="416" t="s">
        <v>269</v>
      </c>
      <c r="B163" s="417">
        <v>0.34</v>
      </c>
      <c r="C163" s="415"/>
      <c r="F163" s="69"/>
      <c r="I163" s="72"/>
    </row>
    <row r="164" spans="1:9" s="2" customFormat="1" ht="14.25" x14ac:dyDescent="0.25">
      <c r="A164" s="418" t="s">
        <v>270</v>
      </c>
      <c r="B164" s="419">
        <v>0.15</v>
      </c>
      <c r="C164" s="415"/>
      <c r="F164" s="69"/>
      <c r="I164" s="72"/>
    </row>
    <row r="165" spans="1:9" s="2" customFormat="1" ht="15" thickBot="1" x14ac:dyDescent="0.3">
      <c r="A165" s="418" t="s">
        <v>271</v>
      </c>
      <c r="B165" s="419">
        <v>0.28000000000000003</v>
      </c>
      <c r="C165" s="415"/>
      <c r="F165" s="69"/>
      <c r="I165" s="72"/>
    </row>
    <row r="166" spans="1:9" s="2" customFormat="1" x14ac:dyDescent="0.2">
      <c r="A166" s="420" t="s">
        <v>224</v>
      </c>
      <c r="B166" s="421"/>
      <c r="C166" s="415"/>
      <c r="D166" s="422" t="s">
        <v>225</v>
      </c>
      <c r="E166" s="422"/>
      <c r="F166" s="422"/>
      <c r="G166" s="422"/>
      <c r="I166" s="72"/>
    </row>
    <row r="167" spans="1:9" s="2" customFormat="1" ht="13.5" thickBot="1" x14ac:dyDescent="0.25">
      <c r="A167" s="423" t="s">
        <v>226</v>
      </c>
      <c r="B167" s="424">
        <f>1-(1-B163)*(1-B164)/(1-B165)</f>
        <v>0.22083333333333344</v>
      </c>
      <c r="C167" s="415"/>
      <c r="D167" s="422"/>
      <c r="E167" s="422"/>
      <c r="F167" s="422"/>
      <c r="G167" s="422"/>
      <c r="I167" s="72"/>
    </row>
    <row r="168" spans="1:9" s="2" customFormat="1" x14ac:dyDescent="0.2">
      <c r="A168" s="116"/>
      <c r="B168" s="175"/>
      <c r="C168" s="415"/>
      <c r="D168" s="422"/>
      <c r="E168" s="422"/>
      <c r="F168" s="422"/>
      <c r="G168" s="422"/>
      <c r="I168" s="72"/>
    </row>
    <row r="169" spans="1:9" s="2" customFormat="1" x14ac:dyDescent="0.2">
      <c r="A169" s="116"/>
      <c r="B169" s="175"/>
      <c r="C169" s="415"/>
      <c r="D169" s="422"/>
      <c r="E169" s="422"/>
      <c r="F169" s="422"/>
      <c r="G169" s="422"/>
      <c r="I169" s="72"/>
    </row>
    <row r="170" spans="1:9" s="2" customFormat="1" x14ac:dyDescent="0.2">
      <c r="A170" s="116"/>
      <c r="B170" s="175"/>
      <c r="C170" s="415"/>
      <c r="D170" s="422"/>
      <c r="E170" s="422"/>
      <c r="F170" s="422"/>
      <c r="G170" s="422"/>
      <c r="I170" s="72"/>
    </row>
    <row r="171" spans="1:9" s="2" customFormat="1" x14ac:dyDescent="0.2">
      <c r="B171" s="175"/>
      <c r="C171" s="415"/>
      <c r="F171" s="69"/>
      <c r="I171" s="72"/>
    </row>
  </sheetData>
  <mergeCells count="7">
    <mergeCell ref="A54:G56"/>
    <mergeCell ref="A148:G149"/>
    <mergeCell ref="D166:G170"/>
    <mergeCell ref="A3:I3"/>
    <mergeCell ref="A5:G6"/>
    <mergeCell ref="A10:G11"/>
    <mergeCell ref="A36:G37"/>
  </mergeCells>
  <phoneticPr fontId="0" type="noConversion"/>
  <printOptions headings="1" gridLines="1"/>
  <pageMargins left="0.3" right="0.3" top="1" bottom="1" header="0.5" footer="0.5"/>
  <pageSetup scale="84" orientation="portrait" r:id="rId1"/>
  <headerFooter alignWithMargins="0"/>
  <rowBreaks count="2" manualBreakCount="2">
    <brk id="53" max="12" man="1"/>
    <brk id="109" max="12" man="1"/>
  </rowBreaks>
  <colBreaks count="1" manualBreakCount="1">
    <brk id="9" max="266" man="1"/>
  </colBreaks>
  <drawing r:id="rId2"/>
  <legacyDrawing r:id="rId3"/>
  <oleObjects>
    <mc:AlternateContent xmlns:mc="http://schemas.openxmlformats.org/markup-compatibility/2006">
      <mc:Choice Requires="x14">
        <oleObject progId="Equation.3" shapeId="12296" r:id="rId4">
          <objectPr defaultSize="0" autoPict="0" r:id="rId5">
            <anchor moveWithCells="1">
              <from>
                <xdr:col>2</xdr:col>
                <xdr:colOff>352425</xdr:colOff>
                <xdr:row>149</xdr:row>
                <xdr:rowOff>76200</xdr:rowOff>
              </from>
              <to>
                <xdr:col>7</xdr:col>
                <xdr:colOff>381000</xdr:colOff>
                <xdr:row>153</xdr:row>
                <xdr:rowOff>9525</xdr:rowOff>
              </to>
            </anchor>
          </objectPr>
        </oleObject>
      </mc:Choice>
      <mc:Fallback>
        <oleObject progId="Equation.3" shapeId="12296" r:id="rId4"/>
      </mc:Fallback>
    </mc:AlternateContent>
    <mc:AlternateContent xmlns:mc="http://schemas.openxmlformats.org/markup-compatibility/2006">
      <mc:Choice Requires="x14">
        <oleObject progId="Equation.3" shapeId="12297" r:id="rId6">
          <objectPr defaultSize="0" autoPict="0" r:id="rId7">
            <anchor moveWithCells="1">
              <from>
                <xdr:col>2</xdr:col>
                <xdr:colOff>66675</xdr:colOff>
                <xdr:row>155</xdr:row>
                <xdr:rowOff>95250</xdr:rowOff>
              </from>
              <to>
                <xdr:col>5</xdr:col>
                <xdr:colOff>190500</xdr:colOff>
                <xdr:row>159</xdr:row>
                <xdr:rowOff>19050</xdr:rowOff>
              </to>
            </anchor>
          </objectPr>
        </oleObject>
      </mc:Choice>
      <mc:Fallback>
        <oleObject progId="Equation.3" shapeId="12297" r:id="rId6"/>
      </mc:Fallback>
    </mc:AlternateContent>
  </oleObjec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LongProp xmlns="" name="Eliminar"><![CDATA[if(confirm('Esta seguro?')){SubmitFormPost('/grado/61.50/_vti_bin/owssvr.dll?CS=65001&Cmd=Delete&List={56e487ff-8531-4ca9-91c4-f82d89e5e98e}&ID=250&owsfileref=/grado/61.50/Material Didctico/Apuntes/Archivo 11 ESTRUCTURA FINANCIERA.xls&NextUsing=/grado/61.50/Material Didctico/Apuntes/')}]]></LongProp>
</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686B733B94E49747934C94CB5E335A69" ma:contentTypeVersion="8" ma:contentTypeDescription="Crear nuevo documento." ma:contentTypeScope="" ma:versionID="c88521d7fa7faec8284e6c706ba23e84">
  <xsd:schema xmlns:xsd="http://www.w3.org/2001/XMLSchema" xmlns:p="http://schemas.microsoft.com/office/2006/metadata/properties" xmlns:ns2="56e487ff-8531-4ca9-91c4-f82d89e5e98e" xmlns:ns3="c9260321-2f47-4675-b46b-f8e3f10ea3c9" targetNamespace="http://schemas.microsoft.com/office/2006/metadata/properties" ma:root="true" ma:fieldsID="6e388447d1e87439b3bf8366ba3baa06" ns2:_="" ns3:_="">
    <xsd:import namespace="56e487ff-8531-4ca9-91c4-f82d89e5e98e"/>
    <xsd:import namespace="c9260321-2f47-4675-b46b-f8e3f10ea3c9"/>
    <xsd:element name="properties">
      <xsd:complexType>
        <xsd:sequence>
          <xsd:element name="documentManagement">
            <xsd:complexType>
              <xsd:all>
                <xsd:element ref="ns2:Vigente_x0020_Desde0" minOccurs="0"/>
                <xsd:element ref="ns3:Vigente_x0020_Hasta" minOccurs="0"/>
                <xsd:element ref="ns2:Descargar" minOccurs="0"/>
                <xsd:element ref="ns2:Eliminar" minOccurs="0"/>
              </xsd:all>
            </xsd:complexType>
          </xsd:element>
        </xsd:sequence>
      </xsd:complexType>
    </xsd:element>
  </xsd:schema>
  <xsd:schema xmlns:xsd="http://www.w3.org/2001/XMLSchema" xmlns:dms="http://schemas.microsoft.com/office/2006/documentManagement/types" targetNamespace="56e487ff-8531-4ca9-91c4-f82d89e5e98e" elementFormDefault="qualified">
    <xsd:import namespace="http://schemas.microsoft.com/office/2006/documentManagement/types"/>
    <xsd:element name="Vigente_x0020_Desde0" ma:index="1" nillable="true" ma:displayName="Vigente Desde" ma:default="[today]" ma:format="DateOnly" ma:internalName="Vigente_x0020_Desde0">
      <xsd:simpleType>
        <xsd:restriction base="dms:DateTime"/>
      </xsd:simpleType>
    </xsd:element>
    <xsd:element name="Descargar" ma:index="10" nillable="true" ma:displayName="Descargar" ma:internalName="Descargar">
      <xsd:simpleType>
        <xsd:restriction base="dms:Unknown"/>
      </xsd:simpleType>
    </xsd:element>
    <xsd:element name="Eliminar" ma:index="11" nillable="true" ma:displayName="Eliminar" ma:internalName="Eliminar">
      <xsd:simpleType>
        <xsd:restriction base="dms:Unknown"/>
      </xsd:simpleType>
    </xsd:element>
  </xsd:schema>
  <xsd:schema xmlns:xsd="http://www.w3.org/2001/XMLSchema" xmlns:dms="http://schemas.microsoft.com/office/2006/documentManagement/types" targetNamespace="c9260321-2f47-4675-b46b-f8e3f10ea3c9" elementFormDefault="qualified">
    <xsd:import namespace="http://schemas.microsoft.com/office/2006/documentManagement/types"/>
    <xsd:element name="Vigente_x0020_Hasta" ma:index="2" nillable="true" ma:displayName="Vigente Hasta" ma:format="DateOnly" ma:internalName="Vigente_x0020_Hasta">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Tipo de contenido" ma:readOnly="true"/>
        <xsd:element ref="dc:title" minOccurs="0" maxOccurs="1" ma:index="0"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Vigente_x0020_Desde0 xmlns="56e487ff-8531-4ca9-91c4-f82d89e5e98e">2007-07-29T00:00:00Z</Vigente_x0020_Desde0>
    <Eliminar xmlns="56e487ff-8531-4ca9-91c4-f82d89e5e98e">if(confirm('Esta seguro?')){SubmitFormPost('/grado/61.50/_vti_bin/owssvr.dll?CS=65001&amp;Cmd=Delete&amp;List={56e487ff-8531-4ca9-91c4-f82d89e5e98e}&amp;ID=250&amp;owsfileref=/grado/61.50/Material Didctico/Apuntes/Archivo 11 ESTRUCTURA FINANCIERA.xls&amp;NextUsing=/grado/61.50/Material Didctico/Apuntes/')}</Eliminar>
    <Descargar xmlns="56e487ff-8531-4ca9-91c4-f82d89e5e98e">/grado/61.50/_layouts/download.aspx?SourceUrl=/grado/61.50/Material Didctico/Apuntes/Archivo 11 ESTRUCTURA FINANCIERA.xls&amp;Source= &amp;FldUrl=/grado/61.50/Material Didctico/Apuntes/Archivo 11 ESTRUCTURA FINANCIERA.xls</Descargar>
    <Vigente_x0020_Hasta xmlns="c9260321-2f47-4675-b46b-f8e3f10ea3c9">2015-12-30T00:00:00Z</Vigente_x0020_Hasta>
  </documentManagement>
</p:properties>
</file>

<file path=customXml/itemProps1.xml><?xml version="1.0" encoding="utf-8"?>
<ds:datastoreItem xmlns:ds="http://schemas.openxmlformats.org/officeDocument/2006/customXml" ds:itemID="{1C2F4FAF-3DDE-42FD-B94D-181284AFE116}">
  <ds:schemaRefs>
    <ds:schemaRef ds:uri="http://schemas.microsoft.com/office/2006/metadata/longProperties"/>
    <ds:schemaRef ds:uri=""/>
  </ds:schemaRefs>
</ds:datastoreItem>
</file>

<file path=customXml/itemProps2.xml><?xml version="1.0" encoding="utf-8"?>
<ds:datastoreItem xmlns:ds="http://schemas.openxmlformats.org/officeDocument/2006/customXml" ds:itemID="{BDA614CD-5F56-44B7-9011-875608445F65}">
  <ds:schemaRefs>
    <ds:schemaRef ds:uri="http://schemas.microsoft.com/sharepoint/v3/contenttype/forms"/>
  </ds:schemaRefs>
</ds:datastoreItem>
</file>

<file path=customXml/itemProps3.xml><?xml version="1.0" encoding="utf-8"?>
<ds:datastoreItem xmlns:ds="http://schemas.openxmlformats.org/officeDocument/2006/customXml" ds:itemID="{636D70F3-490C-4921-B4DE-A17AF6ABAF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e487ff-8531-4ca9-91c4-f82d89e5e98e"/>
    <ds:schemaRef ds:uri="c9260321-2f47-4675-b46b-f8e3f10ea3c9"/>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683F562C-0CD6-40A9-AC0D-D84218D73974}">
  <ds:schemaRefs>
    <ds:schemaRef ds:uri="56e487ff-8531-4ca9-91c4-f82d89e5e98e"/>
    <ds:schemaRef ds:uri="http://purl.org/dc/terms/"/>
    <ds:schemaRef ds:uri="http://schemas.microsoft.com/office/2006/documentManagement/types"/>
    <ds:schemaRef ds:uri="http://schemas.microsoft.com/office/2006/metadata/properties"/>
    <ds:schemaRef ds:uri="http://purl.org/dc/elements/1.1/"/>
    <ds:schemaRef ds:uri="http://schemas.openxmlformats.org/package/2006/metadata/core-properties"/>
    <ds:schemaRef ds:uri="http://purl.org/dc/dcmitype/"/>
    <ds:schemaRef ds:uri="c9260321-2f47-4675-b46b-f8e3f10ea3c9"/>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vt:i4>
      </vt:variant>
    </vt:vector>
  </HeadingPairs>
  <TitlesOfParts>
    <vt:vector size="3" baseType="lpstr">
      <vt:lpstr>Capital Structure Decisions</vt:lpstr>
      <vt:lpstr>Extensions</vt:lpstr>
      <vt:lpstr>Extensions!Área_de_impresión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Archivo 11 ESTRUCTURA FINANCIERA</dc:title>
  <dc:creator>Esteban Yañez</dc:creator>
  <cp:lastModifiedBy>Esteban Yañez</cp:lastModifiedBy>
  <cp:lastPrinted>2006-10-27T23:31:34Z</cp:lastPrinted>
  <dcterms:created xsi:type="dcterms:W3CDTF">1999-11-10T16:31:22Z</dcterms:created>
  <dcterms:modified xsi:type="dcterms:W3CDTF">2015-05-20T03:43:36Z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Documento</vt:lpwstr>
  </property>
</Properties>
</file>