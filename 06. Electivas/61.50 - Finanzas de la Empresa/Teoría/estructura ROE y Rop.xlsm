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palandella\Downloads\"/>
    </mc:Choice>
  </mc:AlternateContent>
  <xr:revisionPtr revIDLastSave="0" documentId="13_ncr:1_{C4E9D45E-9C00-4DAA-B5B7-07A333AD5FF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apital Structure Decision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" i="1" l="1"/>
  <c r="C41" i="1"/>
  <c r="B42" i="1"/>
  <c r="C42" i="1"/>
  <c r="B43" i="1"/>
  <c r="C43" i="1"/>
  <c r="B44" i="1"/>
  <c r="C44" i="1"/>
  <c r="B45" i="1"/>
  <c r="C45" i="1"/>
  <c r="D45" i="1"/>
  <c r="D44" i="1"/>
  <c r="D43" i="1"/>
  <c r="D42" i="1"/>
  <c r="D41" i="1"/>
  <c r="C35" i="1"/>
  <c r="C18" i="1"/>
  <c r="E25" i="1" l="1"/>
  <c r="F25" i="1" s="1"/>
  <c r="G25" i="1" s="1"/>
  <c r="H25" i="1" s="1"/>
  <c r="D29" i="1"/>
  <c r="D46" i="1"/>
  <c r="E26" i="1"/>
  <c r="E28" i="1"/>
  <c r="E42" i="1" l="1"/>
  <c r="F42" i="1" s="1"/>
  <c r="G42" i="1" s="1"/>
  <c r="H42" i="1" s="1"/>
  <c r="J42" i="1"/>
  <c r="I42" i="1"/>
  <c r="J41" i="1"/>
  <c r="I41" i="1"/>
  <c r="E43" i="1"/>
  <c r="F43" i="1" s="1"/>
  <c r="G43" i="1" s="1"/>
  <c r="H43" i="1" s="1"/>
  <c r="J43" i="1"/>
  <c r="I43" i="1"/>
  <c r="E27" i="1"/>
  <c r="F27" i="1" s="1"/>
  <c r="G27" i="1" s="1"/>
  <c r="H27" i="1" s="1"/>
  <c r="E41" i="1"/>
  <c r="F26" i="1"/>
  <c r="G26" i="1" s="1"/>
  <c r="H26" i="1" s="1"/>
  <c r="C29" i="1"/>
  <c r="E24" i="1"/>
  <c r="F28" i="1"/>
  <c r="G28" i="1" s="1"/>
  <c r="H28" i="1" s="1"/>
  <c r="E45" i="1" l="1"/>
  <c r="F45" i="1" s="1"/>
  <c r="I45" i="1"/>
  <c r="J45" i="1"/>
  <c r="E44" i="1"/>
  <c r="I44" i="1"/>
  <c r="J44" i="1"/>
  <c r="C46" i="1"/>
  <c r="F24" i="1"/>
  <c r="F29" i="1" s="1"/>
  <c r="E29" i="1"/>
  <c r="F41" i="1"/>
  <c r="E46" i="1" l="1"/>
  <c r="J46" i="1"/>
  <c r="F44" i="1"/>
  <c r="G44" i="1" s="1"/>
  <c r="H44" i="1" s="1"/>
  <c r="G45" i="1"/>
  <c r="H45" i="1" s="1"/>
  <c r="I46" i="1"/>
  <c r="G24" i="1"/>
  <c r="H24" i="1" s="1"/>
  <c r="G41" i="1"/>
  <c r="F46" i="1" l="1"/>
  <c r="G29" i="1"/>
  <c r="H29" i="1"/>
  <c r="H30" i="1" s="1"/>
  <c r="H31" i="1" s="1"/>
  <c r="H41" i="1"/>
  <c r="G46" i="1"/>
  <c r="H46" i="1" l="1"/>
  <c r="H47" i="1" s="1"/>
  <c r="H48" i="1" s="1"/>
</calcChain>
</file>

<file path=xl/sharedStrings.xml><?xml version="1.0" encoding="utf-8"?>
<sst xmlns="http://schemas.openxmlformats.org/spreadsheetml/2006/main" count="92" uniqueCount="58">
  <si>
    <t>Assets</t>
  </si>
  <si>
    <t>Probability</t>
  </si>
  <si>
    <t>Net</t>
  </si>
  <si>
    <t>ROE</t>
  </si>
  <si>
    <t>Terrible</t>
  </si>
  <si>
    <t>Poor</t>
  </si>
  <si>
    <t>Wonderful</t>
  </si>
  <si>
    <t>Tax rate</t>
  </si>
  <si>
    <t>Pre-tax</t>
  </si>
  <si>
    <t>Taxes</t>
  </si>
  <si>
    <t>EBIT</t>
  </si>
  <si>
    <t>Interest</t>
  </si>
  <si>
    <t>Normal</t>
  </si>
  <si>
    <t>Good</t>
  </si>
  <si>
    <t>Debt</t>
  </si>
  <si>
    <t>Interest rate</t>
  </si>
  <si>
    <t>Shares outstanding</t>
  </si>
  <si>
    <t>(1)</t>
  </si>
  <si>
    <t>(2)</t>
  </si>
  <si>
    <t>(3)</t>
  </si>
  <si>
    <t>(4)</t>
  </si>
  <si>
    <t>(5)</t>
  </si>
  <si>
    <t>(6)</t>
  </si>
  <si>
    <t>(7)</t>
  </si>
  <si>
    <t>Current data for Strasburg</t>
  </si>
  <si>
    <t>Market value of equity</t>
  </si>
  <si>
    <t>Section I. Zero Debt</t>
  </si>
  <si>
    <t xml:space="preserve">n.a.  </t>
  </si>
  <si>
    <t>Demand for</t>
  </si>
  <si>
    <t>product</t>
  </si>
  <si>
    <t>income</t>
  </si>
  <si>
    <t>(40%)</t>
  </si>
  <si>
    <t>(8)</t>
  </si>
  <si>
    <t>Standard deviation:</t>
  </si>
  <si>
    <t>Coefficient of variation:</t>
  </si>
  <si>
    <t>Book equity</t>
  </si>
  <si>
    <t>Expected value:</t>
  </si>
  <si>
    <t>In the following example we illustrate all this, continuing with the situation described in our operating leverage example. We assume that the company decided on Plan B and thus requires $200,000 of capital. We also assume that the firm must increase its precentage financed with debt by 10% at at time, and that its debt ratio cannot exceed 60% due to restrictions in it's corporate charter. Further, we assume that Strasburg Inc currently has 10,000 shares  of common stock outstanding.</t>
  </si>
  <si>
    <t>Section II. $100,000 of Debt</t>
  </si>
  <si>
    <t xml:space="preserve"> Effects of Financial Leverage: Strasburg Electronics Financed with Zero Debt or $100,000 Debt</t>
  </si>
  <si>
    <t>Rop</t>
  </si>
  <si>
    <t>pre-tax</t>
  </si>
  <si>
    <t>after-tax</t>
  </si>
  <si>
    <t>Comentarios:</t>
  </si>
  <si>
    <t>ROE = Rop after-tax + (Rop pre-tax - i) * (D/E) * (1-tax)</t>
  </si>
  <si>
    <t>Rop after-tax = Rop pre-tax * (1-tax)</t>
  </si>
  <si>
    <t>Rop pre-tax = EBIT/Activos = EBIT/(D+E)</t>
  </si>
  <si>
    <t>La expresión que explica la relación entre rentabilidad y apalancamiento es:</t>
  </si>
  <si>
    <t>Siendo:</t>
  </si>
  <si>
    <t>ROE: return on equity, rentabilidad del patrimonio neto</t>
  </si>
  <si>
    <t>Rop: rentabilidad operativa</t>
  </si>
  <si>
    <t>Cuando el endeudamiento es cero (D=0 ==&gt; D/E = 0), entonces:</t>
  </si>
  <si>
    <t>ROE = Rop after-tax = Rop pre-tax * (1-tax) = [EBIT * (1-tax)] /Activos = [EBIT * (1-tax)] /E</t>
  </si>
  <si>
    <t xml:space="preserve">Cuando hay apalancamiento (D&gt;0 ==&gt; D/E &gt; 0), </t>
  </si>
  <si>
    <t>si el costo de la deuda antes de impuestos (celda C36) es manor que la rentabilidad operativa antes de impuestos (columna I),</t>
  </si>
  <si>
    <t>entonces el ROE (columna H) aumentará respecto de la situación sin apalancamiento (columna J).</t>
  </si>
  <si>
    <t>En cambio si el costo de la deuda antes de impuestos es más caro que la rentabilidad operativa antes de impuestos,</t>
  </si>
  <si>
    <t>el ROE será menor que en la situación no apalancada.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</si>
</sst>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_);\(&quot;$&quot;#,##0\)"/>
    <numFmt numFmtId="165" formatCode="&quot;$&quot;#,##0_);[Red]\(&quot;$&quot;#,##0\)"/>
    <numFmt numFmtId="169" formatCode="0.0%"/>
    <numFmt numFmtId="170" formatCode="&quot;$&quot;#,##0"/>
    <numFmt numFmtId="171" formatCode="&quot;$&quot;#,##0.00"/>
  </numFmts>
  <fonts count="14" x14ac:knownFonts="1">
    <font>
      <sz val="10"/>
      <name val="Times New Roman"/>
    </font>
    <font>
      <sz val="10"/>
      <name val="Times New Roman"/>
      <family val="1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0"/>
      <color indexed="16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20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i/>
      <sz val="6"/>
      <name val="Calibri"/>
      <family val="2"/>
      <scheme val="minor"/>
    </font>
    <font>
      <b/>
      <sz val="6"/>
      <name val="Calibri"/>
      <family val="2"/>
      <scheme val="minor"/>
    </font>
    <font>
      <b/>
      <sz val="6"/>
      <color indexed="12"/>
      <name val="Calibri"/>
      <family val="2"/>
      <scheme val="minor"/>
    </font>
    <font>
      <b/>
      <i/>
      <u/>
      <sz val="10"/>
      <name val="Calibri"/>
      <family val="2"/>
      <scheme val="minor"/>
    </font>
    <font>
      <b/>
      <i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5">
    <xf numFmtId="0" fontId="0" fillId="0" borderId="0" xfId="0"/>
    <xf numFmtId="0" fontId="2" fillId="0" borderId="0" xfId="0" applyFont="1"/>
    <xf numFmtId="0" fontId="4" fillId="0" borderId="0" xfId="0" applyFont="1"/>
    <xf numFmtId="0" fontId="7" fillId="2" borderId="8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2" fontId="7" fillId="4" borderId="2" xfId="0" applyNumberFormat="1" applyFont="1" applyFill="1" applyBorder="1" applyAlignment="1">
      <alignment horizontal="center"/>
    </xf>
    <xf numFmtId="0" fontId="3" fillId="0" borderId="0" xfId="0" applyFont="1"/>
    <xf numFmtId="0" fontId="7" fillId="0" borderId="0" xfId="0" applyFont="1" applyAlignment="1">
      <alignment horizontal="center"/>
    </xf>
    <xf numFmtId="0" fontId="9" fillId="0" borderId="0" xfId="0" applyFont="1"/>
    <xf numFmtId="0" fontId="5" fillId="0" borderId="0" xfId="0" applyFont="1"/>
    <xf numFmtId="165" fontId="5" fillId="0" borderId="0" xfId="0" applyNumberFormat="1" applyFont="1"/>
    <xf numFmtId="38" fontId="5" fillId="0" borderId="0" xfId="0" applyNumberFormat="1" applyFont="1"/>
    <xf numFmtId="9" fontId="5" fillId="0" borderId="0" xfId="0" applyNumberFormat="1" applyFont="1"/>
    <xf numFmtId="10" fontId="5" fillId="0" borderId="0" xfId="0" applyNumberFormat="1" applyFont="1" applyAlignment="1">
      <alignment horizontal="right"/>
    </xf>
    <xf numFmtId="0" fontId="2" fillId="5" borderId="4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9" fontId="7" fillId="2" borderId="3" xfId="0" quotePrefix="1" applyNumberFormat="1" applyFont="1" applyFill="1" applyBorder="1" applyAlignment="1">
      <alignment horizontal="center"/>
    </xf>
    <xf numFmtId="0" fontId="2" fillId="5" borderId="1" xfId="0" quotePrefix="1" applyFont="1" applyFill="1" applyBorder="1" applyAlignment="1">
      <alignment horizontal="center"/>
    </xf>
    <xf numFmtId="0" fontId="6" fillId="5" borderId="1" xfId="0" quotePrefix="1" applyFont="1" applyFill="1" applyBorder="1" applyAlignment="1">
      <alignment horizontal="center"/>
    </xf>
    <xf numFmtId="0" fontId="7" fillId="2" borderId="7" xfId="0" quotePrefix="1" applyFont="1" applyFill="1" applyBorder="1" applyAlignment="1">
      <alignment horizontal="center"/>
    </xf>
    <xf numFmtId="0" fontId="7" fillId="2" borderId="1" xfId="0" quotePrefix="1" applyFont="1" applyFill="1" applyBorder="1" applyAlignment="1">
      <alignment horizontal="center"/>
    </xf>
    <xf numFmtId="9" fontId="7" fillId="2" borderId="1" xfId="0" quotePrefix="1" applyNumberFormat="1" applyFont="1" applyFill="1" applyBorder="1" applyAlignment="1">
      <alignment horizontal="center"/>
    </xf>
    <xf numFmtId="0" fontId="2" fillId="5" borderId="3" xfId="0" applyFont="1" applyFill="1" applyBorder="1"/>
    <xf numFmtId="164" fontId="7" fillId="2" borderId="4" xfId="0" applyNumberFormat="1" applyFont="1" applyFill="1" applyBorder="1" applyAlignment="1">
      <alignment horizontal="right"/>
    </xf>
    <xf numFmtId="164" fontId="7" fillId="2" borderId="0" xfId="0" applyNumberFormat="1" applyFont="1" applyFill="1" applyAlignment="1">
      <alignment horizontal="right"/>
    </xf>
    <xf numFmtId="164" fontId="7" fillId="2" borderId="3" xfId="0" applyNumberFormat="1" applyFont="1" applyFill="1" applyBorder="1" applyAlignment="1">
      <alignment horizontal="right"/>
    </xf>
    <xf numFmtId="169" fontId="7" fillId="2" borderId="4" xfId="1" applyNumberFormat="1" applyFont="1" applyFill="1" applyBorder="1" applyAlignment="1">
      <alignment horizontal="center"/>
    </xf>
    <xf numFmtId="37" fontId="7" fillId="2" borderId="3" xfId="0" applyNumberFormat="1" applyFont="1" applyFill="1" applyBorder="1" applyAlignment="1">
      <alignment horizontal="right"/>
    </xf>
    <xf numFmtId="169" fontId="7" fillId="2" borderId="3" xfId="1" applyNumberFormat="1" applyFont="1" applyFill="1" applyBorder="1" applyAlignment="1">
      <alignment horizontal="center"/>
    </xf>
    <xf numFmtId="0" fontId="2" fillId="5" borderId="1" xfId="0" applyFont="1" applyFill="1" applyBorder="1"/>
    <xf numFmtId="0" fontId="6" fillId="5" borderId="1" xfId="0" applyFont="1" applyFill="1" applyBorder="1" applyAlignment="1">
      <alignment horizontal="center"/>
    </xf>
    <xf numFmtId="37" fontId="7" fillId="2" borderId="1" xfId="0" applyNumberFormat="1" applyFont="1" applyFill="1" applyBorder="1" applyAlignment="1">
      <alignment horizontal="right"/>
    </xf>
    <xf numFmtId="169" fontId="7" fillId="2" borderId="1" xfId="1" applyNumberFormat="1" applyFont="1" applyFill="1" applyBorder="1" applyAlignment="1">
      <alignment horizontal="center"/>
    </xf>
    <xf numFmtId="164" fontId="7" fillId="2" borderId="2" xfId="0" applyNumberFormat="1" applyFont="1" applyFill="1" applyBorder="1" applyAlignment="1">
      <alignment horizontal="right"/>
    </xf>
    <xf numFmtId="169" fontId="7" fillId="4" borderId="2" xfId="1" applyNumberFormat="1" applyFont="1" applyFill="1" applyBorder="1" applyAlignment="1">
      <alignment horizontal="center"/>
    </xf>
    <xf numFmtId="171" fontId="7" fillId="0" borderId="0" xfId="1" applyNumberFormat="1" applyFont="1" applyFill="1" applyBorder="1" applyAlignment="1">
      <alignment horizontal="center"/>
    </xf>
    <xf numFmtId="170" fontId="8" fillId="0" borderId="0" xfId="1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3" xfId="0" applyFont="1" applyFill="1" applyBorder="1" applyAlignment="1">
      <alignment horizontal="center"/>
    </xf>
    <xf numFmtId="9" fontId="7" fillId="3" borderId="3" xfId="0" quotePrefix="1" applyNumberFormat="1" applyFont="1" applyFill="1" applyBorder="1" applyAlignment="1">
      <alignment horizontal="center"/>
    </xf>
    <xf numFmtId="0" fontId="7" fillId="3" borderId="7" xfId="0" quotePrefix="1" applyFont="1" applyFill="1" applyBorder="1" applyAlignment="1">
      <alignment horizontal="center"/>
    </xf>
    <xf numFmtId="0" fontId="7" fillId="3" borderId="1" xfId="0" quotePrefix="1" applyFont="1" applyFill="1" applyBorder="1" applyAlignment="1">
      <alignment horizontal="center"/>
    </xf>
    <xf numFmtId="9" fontId="7" fillId="3" borderId="1" xfId="0" quotePrefix="1" applyNumberFormat="1" applyFont="1" applyFill="1" applyBorder="1" applyAlignment="1">
      <alignment horizontal="center"/>
    </xf>
    <xf numFmtId="0" fontId="2" fillId="5" borderId="5" xfId="0" applyFont="1" applyFill="1" applyBorder="1"/>
    <xf numFmtId="164" fontId="7" fillId="3" borderId="4" xfId="0" applyNumberFormat="1" applyFont="1" applyFill="1" applyBorder="1" applyAlignment="1">
      <alignment horizontal="right"/>
    </xf>
    <xf numFmtId="164" fontId="7" fillId="3" borderId="0" xfId="0" applyNumberFormat="1" applyFont="1" applyFill="1" applyAlignment="1">
      <alignment horizontal="right"/>
    </xf>
    <xf numFmtId="169" fontId="7" fillId="3" borderId="4" xfId="1" applyNumberFormat="1" applyFont="1" applyFill="1" applyBorder="1" applyAlignment="1">
      <alignment horizontal="center"/>
    </xf>
    <xf numFmtId="37" fontId="7" fillId="3" borderId="3" xfId="0" applyNumberFormat="1" applyFont="1" applyFill="1" applyBorder="1" applyAlignment="1">
      <alignment horizontal="right"/>
    </xf>
    <xf numFmtId="37" fontId="7" fillId="3" borderId="0" xfId="0" applyNumberFormat="1" applyFont="1" applyFill="1" applyAlignment="1">
      <alignment horizontal="right"/>
    </xf>
    <xf numFmtId="169" fontId="7" fillId="3" borderId="3" xfId="1" applyNumberFormat="1" applyFont="1" applyFill="1" applyBorder="1" applyAlignment="1">
      <alignment horizontal="center"/>
    </xf>
    <xf numFmtId="0" fontId="2" fillId="5" borderId="6" xfId="0" applyFont="1" applyFill="1" applyBorder="1"/>
    <xf numFmtId="37" fontId="7" fillId="3" borderId="1" xfId="0" applyNumberFormat="1" applyFont="1" applyFill="1" applyBorder="1" applyAlignment="1">
      <alignment horizontal="right"/>
    </xf>
    <xf numFmtId="37" fontId="7" fillId="3" borderId="7" xfId="0" applyNumberFormat="1" applyFont="1" applyFill="1" applyBorder="1" applyAlignment="1">
      <alignment horizontal="right"/>
    </xf>
    <xf numFmtId="169" fontId="7" fillId="3" borderId="1" xfId="1" applyNumberFormat="1" applyFont="1" applyFill="1" applyBorder="1" applyAlignment="1">
      <alignment horizontal="center"/>
    </xf>
    <xf numFmtId="170" fontId="7" fillId="3" borderId="2" xfId="0" applyNumberFormat="1" applyFont="1" applyFill="1" applyBorder="1" applyAlignment="1">
      <alignment horizontal="right"/>
    </xf>
    <xf numFmtId="169" fontId="2" fillId="0" borderId="0" xfId="0" applyNumberFormat="1" applyFont="1"/>
    <xf numFmtId="0" fontId="10" fillId="0" borderId="0" xfId="0" applyFont="1"/>
    <xf numFmtId="10" fontId="11" fillId="0" borderId="0" xfId="1" applyNumberFormat="1" applyFont="1"/>
    <xf numFmtId="0" fontId="7" fillId="6" borderId="4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1" xfId="0" quotePrefix="1" applyFont="1" applyFill="1" applyBorder="1" applyAlignment="1">
      <alignment horizontal="center"/>
    </xf>
    <xf numFmtId="169" fontId="7" fillId="6" borderId="4" xfId="1" applyNumberFormat="1" applyFont="1" applyFill="1" applyBorder="1" applyAlignment="1">
      <alignment horizontal="center"/>
    </xf>
    <xf numFmtId="169" fontId="7" fillId="6" borderId="3" xfId="1" applyNumberFormat="1" applyFont="1" applyFill="1" applyBorder="1" applyAlignment="1">
      <alignment horizontal="center"/>
    </xf>
    <xf numFmtId="169" fontId="7" fillId="6" borderId="1" xfId="1" applyNumberFormat="1" applyFont="1" applyFill="1" applyBorder="1" applyAlignment="1">
      <alignment horizontal="center"/>
    </xf>
    <xf numFmtId="169" fontId="7" fillId="7" borderId="2" xfId="1" applyNumberFormat="1" applyFont="1" applyFill="1" applyBorder="1" applyAlignment="1">
      <alignment horizontal="center"/>
    </xf>
    <xf numFmtId="0" fontId="3" fillId="0" borderId="0" xfId="0" applyFont="1" applyAlignment="1">
      <alignment horizontal="left" wrapText="1"/>
    </xf>
    <xf numFmtId="0" fontId="12" fillId="0" borderId="0" xfId="0" applyFont="1"/>
    <xf numFmtId="0" fontId="1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8"/>
  <sheetViews>
    <sheetView showGridLines="0" tabSelected="1" topLeftCell="A13" zoomScale="110" zoomScaleNormal="110" zoomScaleSheetLayoutView="100" workbookViewId="0">
      <selection activeCell="A31" sqref="A31"/>
    </sheetView>
  </sheetViews>
  <sheetFormatPr defaultColWidth="9.296875" defaultRowHeight="13" x14ac:dyDescent="0.3"/>
  <cols>
    <col min="1" max="1" width="11.796875" style="1" customWidth="1"/>
    <col min="2" max="2" width="11.69921875" style="1" customWidth="1"/>
    <col min="3" max="3" width="12.5" style="1" customWidth="1"/>
    <col min="4" max="4" width="13" style="1" customWidth="1"/>
    <col min="5" max="5" width="11.796875" style="1" customWidth="1"/>
    <col min="6" max="6" width="12.19921875" style="1" customWidth="1"/>
    <col min="7" max="7" width="12.796875" style="1" customWidth="1"/>
    <col min="8" max="8" width="10.796875" style="1" customWidth="1"/>
    <col min="9" max="9" width="12.69921875" style="1" customWidth="1"/>
    <col min="10" max="10" width="11.59765625" style="1" customWidth="1"/>
    <col min="11" max="16384" width="9.296875" style="1"/>
  </cols>
  <sheetData>
    <row r="1" spans="1:13" x14ac:dyDescent="0.3">
      <c r="A1" s="72" t="s">
        <v>37</v>
      </c>
      <c r="B1" s="72"/>
      <c r="C1" s="72"/>
      <c r="D1" s="72"/>
      <c r="E1" s="72"/>
      <c r="F1" s="72"/>
      <c r="G1" s="72"/>
      <c r="H1" s="72"/>
      <c r="J1" s="7"/>
      <c r="K1" s="63"/>
      <c r="L1" s="64"/>
      <c r="M1" s="9"/>
    </row>
    <row r="2" spans="1:13" x14ac:dyDescent="0.3">
      <c r="A2" s="72"/>
      <c r="B2" s="72"/>
      <c r="C2" s="72"/>
      <c r="D2" s="72"/>
      <c r="E2" s="72"/>
      <c r="F2" s="72"/>
      <c r="G2" s="72"/>
      <c r="H2" s="72"/>
      <c r="J2" s="7"/>
      <c r="K2" s="63"/>
      <c r="L2" s="63"/>
      <c r="M2" s="9"/>
    </row>
    <row r="3" spans="1:13" x14ac:dyDescent="0.3">
      <c r="A3" s="72"/>
      <c r="B3" s="72"/>
      <c r="C3" s="72"/>
      <c r="D3" s="72"/>
      <c r="E3" s="72"/>
      <c r="F3" s="72"/>
      <c r="G3" s="72"/>
      <c r="H3" s="72"/>
      <c r="J3" s="7"/>
      <c r="K3" s="63"/>
      <c r="L3" s="63"/>
      <c r="M3" s="9"/>
    </row>
    <row r="4" spans="1:13" x14ac:dyDescent="0.3">
      <c r="A4" s="72"/>
      <c r="B4" s="72"/>
      <c r="C4" s="72"/>
      <c r="D4" s="72"/>
      <c r="E4" s="72"/>
      <c r="F4" s="72"/>
      <c r="G4" s="72"/>
      <c r="H4" s="72"/>
      <c r="K4" s="63"/>
      <c r="L4" s="63"/>
      <c r="M4" s="9"/>
    </row>
    <row r="5" spans="1:13" x14ac:dyDescent="0.3">
      <c r="A5" s="72"/>
      <c r="B5" s="72"/>
      <c r="C5" s="72"/>
      <c r="D5" s="72"/>
      <c r="E5" s="72"/>
      <c r="F5" s="72"/>
      <c r="G5" s="72"/>
      <c r="H5" s="72"/>
      <c r="K5" s="63"/>
      <c r="L5" s="63"/>
      <c r="M5" s="9"/>
    </row>
    <row r="6" spans="1:13" x14ac:dyDescent="0.3">
      <c r="A6" s="7"/>
      <c r="K6" s="63"/>
      <c r="L6" s="63"/>
      <c r="M6" s="9"/>
    </row>
    <row r="7" spans="1:13" x14ac:dyDescent="0.3">
      <c r="A7" s="10" t="s">
        <v>24</v>
      </c>
      <c r="K7" s="63"/>
      <c r="L7" s="63"/>
      <c r="M7" s="9"/>
    </row>
    <row r="8" spans="1:13" x14ac:dyDescent="0.3">
      <c r="A8" s="1" t="s">
        <v>0</v>
      </c>
      <c r="C8" s="11">
        <v>200000</v>
      </c>
    </row>
    <row r="9" spans="1:13" x14ac:dyDescent="0.3">
      <c r="A9" s="1" t="s">
        <v>14</v>
      </c>
      <c r="C9" s="11">
        <v>0</v>
      </c>
    </row>
    <row r="10" spans="1:13" x14ac:dyDescent="0.3">
      <c r="A10" s="1" t="s">
        <v>25</v>
      </c>
      <c r="C10" s="11">
        <v>200000</v>
      </c>
    </row>
    <row r="11" spans="1:13" x14ac:dyDescent="0.3">
      <c r="A11" s="1" t="s">
        <v>16</v>
      </c>
      <c r="C11" s="12">
        <v>10000</v>
      </c>
    </row>
    <row r="12" spans="1:13" x14ac:dyDescent="0.3">
      <c r="A12" s="1" t="s">
        <v>7</v>
      </c>
      <c r="C12" s="13">
        <v>0.4</v>
      </c>
    </row>
    <row r="13" spans="1:13" x14ac:dyDescent="0.3">
      <c r="C13" s="13"/>
    </row>
    <row r="14" spans="1:13" x14ac:dyDescent="0.3">
      <c r="A14" s="1" t="s">
        <v>39</v>
      </c>
      <c r="C14" s="13"/>
    </row>
    <row r="16" spans="1:13" x14ac:dyDescent="0.3">
      <c r="A16" s="2" t="s">
        <v>26</v>
      </c>
    </row>
    <row r="17" spans="1:10" x14ac:dyDescent="0.3">
      <c r="A17" s="1" t="s">
        <v>14</v>
      </c>
      <c r="C17" s="11">
        <v>0</v>
      </c>
    </row>
    <row r="18" spans="1:10" x14ac:dyDescent="0.3">
      <c r="A18" s="1" t="s">
        <v>35</v>
      </c>
      <c r="C18" s="11">
        <f>C8-C9</f>
        <v>200000</v>
      </c>
    </row>
    <row r="19" spans="1:10" x14ac:dyDescent="0.3">
      <c r="A19" s="1" t="s">
        <v>15</v>
      </c>
      <c r="C19" s="14" t="s">
        <v>27</v>
      </c>
    </row>
    <row r="20" spans="1:10" ht="13.5" thickBot="1" x14ac:dyDescent="0.35"/>
    <row r="21" spans="1:10" x14ac:dyDescent="0.3">
      <c r="A21" s="15" t="s">
        <v>28</v>
      </c>
      <c r="B21" s="16"/>
      <c r="C21" s="3"/>
      <c r="D21" s="4"/>
      <c r="E21" s="3" t="s">
        <v>8</v>
      </c>
      <c r="F21" s="4" t="s">
        <v>9</v>
      </c>
      <c r="G21" s="3" t="s">
        <v>2</v>
      </c>
      <c r="H21" s="4"/>
    </row>
    <row r="22" spans="1:10" x14ac:dyDescent="0.3">
      <c r="A22" s="17" t="s">
        <v>29</v>
      </c>
      <c r="B22" s="18" t="s">
        <v>1</v>
      </c>
      <c r="C22" s="19" t="s">
        <v>10</v>
      </c>
      <c r="D22" s="5" t="s">
        <v>11</v>
      </c>
      <c r="E22" s="19" t="s">
        <v>30</v>
      </c>
      <c r="F22" s="20" t="s">
        <v>31</v>
      </c>
      <c r="G22" s="19" t="s">
        <v>30</v>
      </c>
      <c r="H22" s="5" t="s">
        <v>3</v>
      </c>
    </row>
    <row r="23" spans="1:10" ht="13.5" thickBot="1" x14ac:dyDescent="0.35">
      <c r="A23" s="21" t="s">
        <v>17</v>
      </c>
      <c r="B23" s="22" t="s">
        <v>18</v>
      </c>
      <c r="C23" s="23" t="s">
        <v>19</v>
      </c>
      <c r="D23" s="24" t="s">
        <v>20</v>
      </c>
      <c r="E23" s="23" t="s">
        <v>21</v>
      </c>
      <c r="F23" s="25" t="s">
        <v>22</v>
      </c>
      <c r="G23" s="23" t="s">
        <v>23</v>
      </c>
      <c r="H23" s="24" t="s">
        <v>32</v>
      </c>
    </row>
    <row r="24" spans="1:10" x14ac:dyDescent="0.3">
      <c r="A24" s="26" t="s">
        <v>4</v>
      </c>
      <c r="B24" s="18">
        <v>0.05</v>
      </c>
      <c r="C24" s="27">
        <v>-60000</v>
      </c>
      <c r="D24" s="27">
        <v>0</v>
      </c>
      <c r="E24" s="28">
        <f>C24-D24</f>
        <v>-60000</v>
      </c>
      <c r="F24" s="29">
        <f>E24*$C$12</f>
        <v>-24000</v>
      </c>
      <c r="G24" s="28">
        <f>E24-F24</f>
        <v>-36000</v>
      </c>
      <c r="H24" s="30">
        <f>G24/$C$18</f>
        <v>-0.18</v>
      </c>
    </row>
    <row r="25" spans="1:10" x14ac:dyDescent="0.3">
      <c r="A25" s="26" t="s">
        <v>5</v>
      </c>
      <c r="B25" s="18">
        <v>0.2</v>
      </c>
      <c r="C25" s="31">
        <v>-20000</v>
      </c>
      <c r="D25" s="31">
        <v>0</v>
      </c>
      <c r="E25" s="31">
        <f>C25-D25</f>
        <v>-20000</v>
      </c>
      <c r="F25" s="31">
        <f>E25*$C$12</f>
        <v>-8000</v>
      </c>
      <c r="G25" s="31">
        <f>E25-F25</f>
        <v>-12000</v>
      </c>
      <c r="H25" s="32">
        <f>G25/$C$18</f>
        <v>-0.06</v>
      </c>
    </row>
    <row r="26" spans="1:10" x14ac:dyDescent="0.3">
      <c r="A26" s="26" t="s">
        <v>12</v>
      </c>
      <c r="B26" s="18">
        <v>0.5</v>
      </c>
      <c r="C26" s="31">
        <v>40000</v>
      </c>
      <c r="D26" s="31">
        <v>0</v>
      </c>
      <c r="E26" s="31">
        <f>C26-D26</f>
        <v>40000</v>
      </c>
      <c r="F26" s="31">
        <f>E26*$C$12</f>
        <v>16000</v>
      </c>
      <c r="G26" s="31">
        <f>E26-F26</f>
        <v>24000</v>
      </c>
      <c r="H26" s="32">
        <f>G26/$C$18</f>
        <v>0.12</v>
      </c>
    </row>
    <row r="27" spans="1:10" x14ac:dyDescent="0.3">
      <c r="A27" s="26" t="s">
        <v>13</v>
      </c>
      <c r="B27" s="18">
        <v>0.2</v>
      </c>
      <c r="C27" s="31">
        <v>100000</v>
      </c>
      <c r="D27" s="31">
        <v>0</v>
      </c>
      <c r="E27" s="31">
        <f>C27-D27</f>
        <v>100000</v>
      </c>
      <c r="F27" s="31">
        <f>E27*$C$12</f>
        <v>40000</v>
      </c>
      <c r="G27" s="31">
        <f>E27-F27</f>
        <v>60000</v>
      </c>
      <c r="H27" s="32">
        <f>G27/$C$18</f>
        <v>0.3</v>
      </c>
    </row>
    <row r="28" spans="1:10" ht="13.5" thickBot="1" x14ac:dyDescent="0.35">
      <c r="A28" s="33" t="s">
        <v>6</v>
      </c>
      <c r="B28" s="34">
        <v>0.05</v>
      </c>
      <c r="C28" s="35">
        <v>140000</v>
      </c>
      <c r="D28" s="35">
        <v>0</v>
      </c>
      <c r="E28" s="35">
        <f>C28-D28</f>
        <v>140000</v>
      </c>
      <c r="F28" s="35">
        <f>E28*$C$12</f>
        <v>56000</v>
      </c>
      <c r="G28" s="35">
        <f>E28-F28</f>
        <v>84000</v>
      </c>
      <c r="H28" s="36">
        <f>G28/$C$18</f>
        <v>0.42</v>
      </c>
    </row>
    <row r="29" spans="1:10" ht="13.5" thickBot="1" x14ac:dyDescent="0.35">
      <c r="A29" s="1" t="s">
        <v>36</v>
      </c>
      <c r="C29" s="37">
        <f t="shared" ref="C29:H29" si="0">C24*$B$24+C25*$B$25+C26*$B$26+C27*$B$27+C28*$B$28</f>
        <v>40000</v>
      </c>
      <c r="D29" s="37">
        <f t="shared" si="0"/>
        <v>0</v>
      </c>
      <c r="E29" s="37">
        <f t="shared" si="0"/>
        <v>40000</v>
      </c>
      <c r="F29" s="37">
        <f t="shared" si="0"/>
        <v>16000</v>
      </c>
      <c r="G29" s="37">
        <f t="shared" si="0"/>
        <v>24000</v>
      </c>
      <c r="H29" s="38">
        <f t="shared" si="0"/>
        <v>0.12000000000000001</v>
      </c>
    </row>
    <row r="30" spans="1:10" ht="13.5" thickBot="1" x14ac:dyDescent="0.35">
      <c r="A30" s="1" t="s">
        <v>33</v>
      </c>
      <c r="C30" s="8"/>
      <c r="D30" s="8"/>
      <c r="E30" s="8"/>
      <c r="F30" s="8"/>
      <c r="G30" s="8"/>
      <c r="H30" s="38">
        <f>SQRT(($B$24*(H24-H29)^2)+($B$25*(H25-H29)^2)+($B$26*(H26-H29)^2)+($B$27*(H27-H29)^2)+($B$28*(H28-H29)^2))</f>
        <v>0.14818906842274163</v>
      </c>
      <c r="I30" s="40"/>
      <c r="J30" s="40"/>
    </row>
    <row r="31" spans="1:10" ht="13.5" thickBot="1" x14ac:dyDescent="0.35">
      <c r="A31" s="1" t="s">
        <v>34</v>
      </c>
      <c r="C31" s="8"/>
      <c r="D31" s="8"/>
      <c r="E31" s="8"/>
      <c r="F31" s="8"/>
      <c r="G31" s="8"/>
      <c r="H31" s="6">
        <f>H30/H29</f>
        <v>1.2349089035228469</v>
      </c>
      <c r="I31" s="41"/>
    </row>
    <row r="33" spans="1:10" x14ac:dyDescent="0.3">
      <c r="A33" s="2" t="s">
        <v>38</v>
      </c>
    </row>
    <row r="34" spans="1:10" x14ac:dyDescent="0.3">
      <c r="A34" s="1" t="s">
        <v>14</v>
      </c>
      <c r="C34" s="11">
        <v>100000</v>
      </c>
    </row>
    <row r="35" spans="1:10" x14ac:dyDescent="0.3">
      <c r="A35" s="1" t="s">
        <v>35</v>
      </c>
      <c r="C35" s="11">
        <f>C8-C34</f>
        <v>100000</v>
      </c>
    </row>
    <row r="36" spans="1:10" x14ac:dyDescent="0.3">
      <c r="A36" s="1" t="s">
        <v>15</v>
      </c>
      <c r="C36" s="13">
        <v>0.1</v>
      </c>
    </row>
    <row r="37" spans="1:10" ht="13.5" thickBot="1" x14ac:dyDescent="0.35"/>
    <row r="38" spans="1:10" x14ac:dyDescent="0.3">
      <c r="A38" s="15" t="s">
        <v>28</v>
      </c>
      <c r="B38" s="16"/>
      <c r="C38" s="42"/>
      <c r="D38" s="43"/>
      <c r="E38" s="42" t="s">
        <v>8</v>
      </c>
      <c r="F38" s="43" t="s">
        <v>9</v>
      </c>
      <c r="G38" s="42" t="s">
        <v>2</v>
      </c>
      <c r="H38" s="43"/>
      <c r="I38" s="65"/>
      <c r="J38" s="65"/>
    </row>
    <row r="39" spans="1:10" x14ac:dyDescent="0.3">
      <c r="A39" s="17" t="s">
        <v>29</v>
      </c>
      <c r="B39" s="18" t="s">
        <v>1</v>
      </c>
      <c r="C39" s="44" t="s">
        <v>10</v>
      </c>
      <c r="D39" s="45" t="s">
        <v>11</v>
      </c>
      <c r="E39" s="44" t="s">
        <v>30</v>
      </c>
      <c r="F39" s="46" t="s">
        <v>31</v>
      </c>
      <c r="G39" s="44" t="s">
        <v>30</v>
      </c>
      <c r="H39" s="45" t="s">
        <v>3</v>
      </c>
      <c r="I39" s="66" t="s">
        <v>40</v>
      </c>
      <c r="J39" s="66" t="s">
        <v>40</v>
      </c>
    </row>
    <row r="40" spans="1:10" ht="13.5" thickBot="1" x14ac:dyDescent="0.35">
      <c r="A40" s="21" t="s">
        <v>17</v>
      </c>
      <c r="B40" s="22" t="s">
        <v>18</v>
      </c>
      <c r="C40" s="47" t="s">
        <v>19</v>
      </c>
      <c r="D40" s="48" t="s">
        <v>20</v>
      </c>
      <c r="E40" s="47" t="s">
        <v>21</v>
      </c>
      <c r="F40" s="49" t="s">
        <v>22</v>
      </c>
      <c r="G40" s="47" t="s">
        <v>23</v>
      </c>
      <c r="H40" s="48" t="s">
        <v>32</v>
      </c>
      <c r="I40" s="67" t="s">
        <v>41</v>
      </c>
      <c r="J40" s="67" t="s">
        <v>42</v>
      </c>
    </row>
    <row r="41" spans="1:10" x14ac:dyDescent="0.3">
      <c r="A41" s="50" t="s">
        <v>4</v>
      </c>
      <c r="B41" s="18">
        <f t="shared" ref="B41:C45" si="1">B24</f>
        <v>0.05</v>
      </c>
      <c r="C41" s="51">
        <f t="shared" si="1"/>
        <v>-60000</v>
      </c>
      <c r="D41" s="51">
        <f>$C$34*$C$36</f>
        <v>10000</v>
      </c>
      <c r="E41" s="51">
        <f>C41-D41</f>
        <v>-70000</v>
      </c>
      <c r="F41" s="51">
        <f>E41*$C$12</f>
        <v>-28000</v>
      </c>
      <c r="G41" s="52">
        <f>E41-F41</f>
        <v>-42000</v>
      </c>
      <c r="H41" s="53">
        <f>G41/$C$35</f>
        <v>-0.42</v>
      </c>
      <c r="I41" s="68">
        <f t="shared" ref="I41:I45" si="2">C41/SUM($C$34:$C$35)</f>
        <v>-0.3</v>
      </c>
      <c r="J41" s="68">
        <f t="shared" ref="J41:J43" si="3">C41*(1-$C$12)/SUM($C$34:$C$35)</f>
        <v>-0.18</v>
      </c>
    </row>
    <row r="42" spans="1:10" x14ac:dyDescent="0.3">
      <c r="A42" s="50" t="s">
        <v>5</v>
      </c>
      <c r="B42" s="18">
        <f t="shared" si="1"/>
        <v>0.2</v>
      </c>
      <c r="C42" s="54">
        <f t="shared" si="1"/>
        <v>-20000</v>
      </c>
      <c r="D42" s="54">
        <f>$C$34*$C$36</f>
        <v>10000</v>
      </c>
      <c r="E42" s="54">
        <f>C42-D42</f>
        <v>-30000</v>
      </c>
      <c r="F42" s="54">
        <f>E42*$C$12</f>
        <v>-12000</v>
      </c>
      <c r="G42" s="55">
        <f>E42-F42</f>
        <v>-18000</v>
      </c>
      <c r="H42" s="56">
        <f>G42/$C$35</f>
        <v>-0.18</v>
      </c>
      <c r="I42" s="69">
        <f t="shared" si="2"/>
        <v>-0.1</v>
      </c>
      <c r="J42" s="69">
        <f t="shared" si="3"/>
        <v>-0.06</v>
      </c>
    </row>
    <row r="43" spans="1:10" x14ac:dyDescent="0.3">
      <c r="A43" s="50" t="s">
        <v>12</v>
      </c>
      <c r="B43" s="18">
        <f t="shared" si="1"/>
        <v>0.5</v>
      </c>
      <c r="C43" s="54">
        <f t="shared" si="1"/>
        <v>40000</v>
      </c>
      <c r="D43" s="54">
        <f>$C$34*$C$36</f>
        <v>10000</v>
      </c>
      <c r="E43" s="54">
        <f>C43-D43</f>
        <v>30000</v>
      </c>
      <c r="F43" s="54">
        <f>E43*$C$12</f>
        <v>12000</v>
      </c>
      <c r="G43" s="55">
        <f>E43-F43</f>
        <v>18000</v>
      </c>
      <c r="H43" s="56">
        <f>G43/$C$35</f>
        <v>0.18</v>
      </c>
      <c r="I43" s="69">
        <f t="shared" si="2"/>
        <v>0.2</v>
      </c>
      <c r="J43" s="69">
        <f t="shared" si="3"/>
        <v>0.12</v>
      </c>
    </row>
    <row r="44" spans="1:10" x14ac:dyDescent="0.3">
      <c r="A44" s="50" t="s">
        <v>13</v>
      </c>
      <c r="B44" s="18">
        <f t="shared" si="1"/>
        <v>0.2</v>
      </c>
      <c r="C44" s="54">
        <f t="shared" si="1"/>
        <v>100000</v>
      </c>
      <c r="D44" s="54">
        <f>$C$34*$C$36</f>
        <v>10000</v>
      </c>
      <c r="E44" s="54">
        <f>C44-D44</f>
        <v>90000</v>
      </c>
      <c r="F44" s="54">
        <f>E44*$C$12</f>
        <v>36000</v>
      </c>
      <c r="G44" s="55">
        <f>E44-F44</f>
        <v>54000</v>
      </c>
      <c r="H44" s="56">
        <f>G44/$C$35</f>
        <v>0.54</v>
      </c>
      <c r="I44" s="69">
        <f t="shared" si="2"/>
        <v>0.5</v>
      </c>
      <c r="J44" s="69">
        <f t="shared" ref="J44:J45" si="4">C44*(1-$C$12)/SUM($C$34:$C$35)</f>
        <v>0.3</v>
      </c>
    </row>
    <row r="45" spans="1:10" ht="13.5" thickBot="1" x14ac:dyDescent="0.35">
      <c r="A45" s="57" t="s">
        <v>6</v>
      </c>
      <c r="B45" s="34">
        <f t="shared" si="1"/>
        <v>0.05</v>
      </c>
      <c r="C45" s="58">
        <f t="shared" si="1"/>
        <v>140000</v>
      </c>
      <c r="D45" s="58">
        <f>$C$34*$C$36</f>
        <v>10000</v>
      </c>
      <c r="E45" s="58">
        <f>C45-D45</f>
        <v>130000</v>
      </c>
      <c r="F45" s="58">
        <f>E45*$C$12</f>
        <v>52000</v>
      </c>
      <c r="G45" s="59">
        <f>E45-F45</f>
        <v>78000</v>
      </c>
      <c r="H45" s="60">
        <f>G45/$C$35</f>
        <v>0.78</v>
      </c>
      <c r="I45" s="70">
        <f t="shared" si="2"/>
        <v>0.7</v>
      </c>
      <c r="J45" s="70">
        <f t="shared" si="4"/>
        <v>0.42</v>
      </c>
    </row>
    <row r="46" spans="1:10" ht="13.5" thickBot="1" x14ac:dyDescent="0.35">
      <c r="A46" s="1" t="s">
        <v>36</v>
      </c>
      <c r="C46" s="61">
        <f t="shared" ref="C46:H46" si="5">C41*$B$41+C42*$B$42+C43*$B$43+C44*$B$44+C45*$B$45</f>
        <v>40000</v>
      </c>
      <c r="D46" s="61">
        <f t="shared" si="5"/>
        <v>10000</v>
      </c>
      <c r="E46" s="61">
        <f t="shared" si="5"/>
        <v>30000</v>
      </c>
      <c r="F46" s="61">
        <f t="shared" si="5"/>
        <v>12000</v>
      </c>
      <c r="G46" s="61">
        <f t="shared" si="5"/>
        <v>18000</v>
      </c>
      <c r="H46" s="38">
        <f t="shared" si="5"/>
        <v>0.18000000000000002</v>
      </c>
      <c r="I46" s="71">
        <f t="shared" ref="I46:J46" si="6">I41*$B$24+I42*$B$25+I43*$B$26+I44*$B$27+I45*$B$28</f>
        <v>0.2</v>
      </c>
      <c r="J46" s="71">
        <f t="shared" si="6"/>
        <v>0.12000000000000001</v>
      </c>
    </row>
    <row r="47" spans="1:10" ht="13.5" thickBot="1" x14ac:dyDescent="0.35">
      <c r="A47" s="1" t="s">
        <v>33</v>
      </c>
      <c r="C47" s="8"/>
      <c r="D47" s="8"/>
      <c r="E47" s="8"/>
      <c r="F47" s="8"/>
      <c r="G47" s="8"/>
      <c r="H47" s="38">
        <f>SQRT(($B$24*(H41-H46)^2)+($B$25*(H42-H46)^2)+($B$26*(H43-H46)^2)+($B$27*(H44-H46)^2)+($B$28*(H45-H46)^2))</f>
        <v>0.29637813684548325</v>
      </c>
      <c r="I47" s="39"/>
      <c r="J47" s="62"/>
    </row>
    <row r="48" spans="1:10" ht="13.5" thickBot="1" x14ac:dyDescent="0.35">
      <c r="A48" s="1" t="s">
        <v>34</v>
      </c>
      <c r="C48" s="8"/>
      <c r="D48" s="8"/>
      <c r="E48" s="8"/>
      <c r="F48" s="8"/>
      <c r="G48" s="8"/>
      <c r="H48" s="6">
        <f>H47/H46</f>
        <v>1.646545204697129</v>
      </c>
      <c r="I48" s="41"/>
    </row>
    <row r="51" spans="1:1" x14ac:dyDescent="0.3">
      <c r="A51" s="73" t="s">
        <v>43</v>
      </c>
    </row>
    <row r="52" spans="1:1" x14ac:dyDescent="0.3">
      <c r="A52" s="74" t="s">
        <v>47</v>
      </c>
    </row>
    <row r="53" spans="1:1" x14ac:dyDescent="0.3">
      <c r="A53" s="74" t="s">
        <v>44</v>
      </c>
    </row>
    <row r="54" spans="1:1" x14ac:dyDescent="0.3">
      <c r="A54" s="74"/>
    </row>
    <row r="55" spans="1:1" x14ac:dyDescent="0.3">
      <c r="A55" s="74" t="s">
        <v>48</v>
      </c>
    </row>
    <row r="56" spans="1:1" x14ac:dyDescent="0.3">
      <c r="A56" s="74" t="s">
        <v>45</v>
      </c>
    </row>
    <row r="57" spans="1:1" x14ac:dyDescent="0.3">
      <c r="A57" s="74" t="s">
        <v>46</v>
      </c>
    </row>
    <row r="58" spans="1:1" x14ac:dyDescent="0.3">
      <c r="A58" s="74" t="s">
        <v>49</v>
      </c>
    </row>
    <row r="59" spans="1:1" x14ac:dyDescent="0.3">
      <c r="A59" s="74" t="s">
        <v>50</v>
      </c>
    </row>
    <row r="61" spans="1:1" x14ac:dyDescent="0.3">
      <c r="A61" s="74" t="s">
        <v>51</v>
      </c>
    </row>
    <row r="62" spans="1:1" x14ac:dyDescent="0.3">
      <c r="A62" s="74" t="s">
        <v>52</v>
      </c>
    </row>
    <row r="64" spans="1:1" x14ac:dyDescent="0.3">
      <c r="A64" s="74" t="s">
        <v>53</v>
      </c>
    </row>
    <row r="65" spans="1:1" x14ac:dyDescent="0.3">
      <c r="A65" s="1" t="s">
        <v>54</v>
      </c>
    </row>
    <row r="66" spans="1:1" x14ac:dyDescent="0.3">
      <c r="A66" s="1" t="s">
        <v>55</v>
      </c>
    </row>
    <row r="67" spans="1:1" x14ac:dyDescent="0.3">
      <c r="A67" s="1" t="s">
        <v>56</v>
      </c>
    </row>
    <row r="68" spans="1:1" x14ac:dyDescent="0.3">
      <c r="A68" s="1" t="s">
        <v>57</v>
      </c>
    </row>
  </sheetData>
  <mergeCells count="1">
    <mergeCell ref="A1:H5"/>
  </mergeCells>
  <phoneticPr fontId="0" type="noConversion"/>
  <printOptions headings="1" gridLines="1"/>
  <pageMargins left="0.3" right="0.3" top="1" bottom="1" header="0.5" footer="0.5"/>
  <pageSetup scale="81" orientation="portrait" r:id="rId1"/>
  <headerFooter alignWithMargins="0"/>
  <rowBreaks count="1" manualBreakCount="1">
    <brk id="31" max="16383" man="1"/>
  </rowBreaks>
  <colBreaks count="1" manualBreakCount="1">
    <brk id="9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>
  <LongProp xmlns="" name="Eliminar"><![CDATA[if(confirm('Esta seguro?')){SubmitFormPost('/grado/61.50/_vti_bin/owssvr.dll?CS=65001&Cmd=Delete&List={56e487ff-8531-4ca9-91c4-f82d89e5e98e}&ID=250&owsfileref=/grado/61.50/Material Didctico/Apuntes/Archivo 11 ESTRUCTURA FINANCIERA.xls&NextUsing=/grado/61.50/Material Didctico/Apuntes/')}]]></LongProp>
</LongProperti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igente_x0020_Desde0 xmlns="56e487ff-8531-4ca9-91c4-f82d89e5e98e">2007-07-29T00:00:00Z</Vigente_x0020_Desde0>
    <Eliminar xmlns="56e487ff-8531-4ca9-91c4-f82d89e5e98e">if(confirm('Esta seguro?')){SubmitFormPost('/grado/61.50/_vti_bin/owssvr.dll?CS=65001&amp;Cmd=Delete&amp;List={56e487ff-8531-4ca9-91c4-f82d89e5e98e}&amp;ID=250&amp;owsfileref=/grado/61.50/Material Didctico/Apuntes/Archivo 11 ESTRUCTURA FINANCIERA.xls&amp;NextUsing=/grado/61.50/Material Didctico/Apuntes/')}</Eliminar>
    <Descargar xmlns="56e487ff-8531-4ca9-91c4-f82d89e5e98e">/grado/61.50/_layouts/download.aspx?SourceUrl=/grado/61.50/Material Didctico/Apuntes/Archivo 11 ESTRUCTURA FINANCIERA.xls&amp;Source= &amp;FldUrl=/grado/61.50/Material Didctico/Apuntes/Archivo 11 ESTRUCTURA FINANCIERA.xls</Descargar>
    <Vigente_x0020_Hasta xmlns="c9260321-2f47-4675-b46b-f8e3f10ea3c9">2015-12-30T00:00:00Z</Vigente_x0020_Hasta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86B733B94E49747934C94CB5E335A69" ma:contentTypeVersion="8" ma:contentTypeDescription="Crear nuevo documento." ma:contentTypeScope="" ma:versionID="c88521d7fa7faec8284e6c706ba23e84">
  <xsd:schema xmlns:xsd="http://www.w3.org/2001/XMLSchema" xmlns:p="http://schemas.microsoft.com/office/2006/metadata/properties" xmlns:ns2="56e487ff-8531-4ca9-91c4-f82d89e5e98e" xmlns:ns3="c9260321-2f47-4675-b46b-f8e3f10ea3c9" targetNamespace="http://schemas.microsoft.com/office/2006/metadata/properties" ma:root="true" ma:fieldsID="6e388447d1e87439b3bf8366ba3baa06" ns2:_="" ns3:_="">
    <xsd:import namespace="56e487ff-8531-4ca9-91c4-f82d89e5e98e"/>
    <xsd:import namespace="c9260321-2f47-4675-b46b-f8e3f10ea3c9"/>
    <xsd:element name="properties">
      <xsd:complexType>
        <xsd:sequence>
          <xsd:element name="documentManagement">
            <xsd:complexType>
              <xsd:all>
                <xsd:element ref="ns2:Vigente_x0020_Desde0" minOccurs="0"/>
                <xsd:element ref="ns3:Vigente_x0020_Hasta" minOccurs="0"/>
                <xsd:element ref="ns2:Descargar" minOccurs="0"/>
                <xsd:element ref="ns2:Elimina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56e487ff-8531-4ca9-91c4-f82d89e5e98e" elementFormDefault="qualified">
    <xsd:import namespace="http://schemas.microsoft.com/office/2006/documentManagement/types"/>
    <xsd:element name="Vigente_x0020_Desde0" ma:index="1" nillable="true" ma:displayName="Vigente Desde" ma:default="[today]" ma:format="DateOnly" ma:internalName="Vigente_x0020_Desde0">
      <xsd:simpleType>
        <xsd:restriction base="dms:DateTime"/>
      </xsd:simpleType>
    </xsd:element>
    <xsd:element name="Descargar" ma:index="10" nillable="true" ma:displayName="Descargar" ma:internalName="Descargar">
      <xsd:simpleType>
        <xsd:restriction base="dms:Unknown"/>
      </xsd:simpleType>
    </xsd:element>
    <xsd:element name="Eliminar" ma:index="11" nillable="true" ma:displayName="Eliminar" ma:internalName="Eliminar">
      <xsd:simpleType>
        <xsd:restriction base="dms:Unknown"/>
      </xsd:simpleType>
    </xsd:element>
  </xsd:schema>
  <xsd:schema xmlns:xsd="http://www.w3.org/2001/XMLSchema" xmlns:dms="http://schemas.microsoft.com/office/2006/documentManagement/types" targetNamespace="c9260321-2f47-4675-b46b-f8e3f10ea3c9" elementFormDefault="qualified">
    <xsd:import namespace="http://schemas.microsoft.com/office/2006/documentManagement/types"/>
    <xsd:element name="Vigente_x0020_Hasta" ma:index="2" nillable="true" ma:displayName="Vigente Hasta" ma:format="DateOnly" ma:internalName="Vigente_x0020_Hasta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Tipo de contenido" ma:readOnly="true"/>
        <xsd:element ref="dc:title" minOccurs="0" maxOccurs="1" ma:index="0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2F4FAF-3DDE-42FD-B94D-181284AFE116}">
  <ds:schemaRefs>
    <ds:schemaRef ds:uri="http://schemas.microsoft.com/office/2006/metadata/longProperties"/>
    <ds:schemaRef ds:uri=""/>
  </ds:schemaRefs>
</ds:datastoreItem>
</file>

<file path=customXml/itemProps2.xml><?xml version="1.0" encoding="utf-8"?>
<ds:datastoreItem xmlns:ds="http://schemas.openxmlformats.org/officeDocument/2006/customXml" ds:itemID="{683F562C-0CD6-40A9-AC0D-D84218D73974}">
  <ds:schemaRefs>
    <ds:schemaRef ds:uri="56e487ff-8531-4ca9-91c4-f82d89e5e98e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dcmitype/"/>
    <ds:schemaRef ds:uri="c9260321-2f47-4675-b46b-f8e3f10ea3c9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36D70F3-490C-4921-B4DE-A17AF6ABAF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e487ff-8531-4ca9-91c4-f82d89e5e98e"/>
    <ds:schemaRef ds:uri="c9260321-2f47-4675-b46b-f8e3f10ea3c9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BDA614CD-5F56-44B7-9011-875608445F6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Capital Structure Decisions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Archivo 11 ESTRUCTURA FINANCIERA</dc:title>
  <dc:creator>Esteban Yañez</dc:creator>
  <cp:lastModifiedBy>Mauricio Palandella</cp:lastModifiedBy>
  <cp:lastPrinted>2006-10-27T23:31:34Z</cp:lastPrinted>
  <dcterms:created xsi:type="dcterms:W3CDTF">1999-11-10T16:31:22Z</dcterms:created>
  <dcterms:modified xsi:type="dcterms:W3CDTF">2025-06-04T14:14:53Z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Documento</vt:lpwstr>
  </property>
</Properties>
</file>